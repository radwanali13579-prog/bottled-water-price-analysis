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dwa\Desktop\STATISTIC\"/>
    </mc:Choice>
  </mc:AlternateContent>
  <xr:revisionPtr revIDLastSave="0" documentId="13_ncr:1_{DE4FC0A3-AB31-451A-B3FB-5FA2F0364650}" xr6:coauthVersionLast="47" xr6:coauthVersionMax="47" xr10:uidLastSave="{00000000-0000-0000-0000-000000000000}"/>
  <bookViews>
    <workbookView xWindow="-108" yWindow="-108" windowWidth="23256" windowHeight="12456" activeTab="1" xr2:uid="{88F48AE0-1E96-428A-A6D4-C731C205ADCB}"/>
  </bookViews>
  <sheets>
    <sheet name="data collection" sheetId="1" r:id="rId1"/>
    <sheet name="Quantitative" sheetId="2" r:id="rId2"/>
    <sheet name="qualitative" sheetId="3" r:id="rId3"/>
  </sheets>
  <definedNames>
    <definedName name="_xlchart.v1.0" hidden="1">'data collection'!$G$2:$G$151</definedName>
    <definedName name="_xlchart.v1.1" hidden="1">'data collection'!$G$2:$G$151</definedName>
    <definedName name="_xlchart.v1.10" hidden="1">Quantitative!$W$1</definedName>
    <definedName name="_xlchart.v1.11" hidden="1">Quantitative!$W$1:$W$151</definedName>
    <definedName name="_xlchart.v1.12" hidden="1">Quantitative!$W$2:$W$151</definedName>
    <definedName name="_xlchart.v1.13" hidden="1">Quantitative!$X$1</definedName>
    <definedName name="_xlchart.v1.14" hidden="1">Quantitative!$X$1:$X$151</definedName>
    <definedName name="_xlchart.v1.15" hidden="1">Quantitative!$X$2:$X$151</definedName>
    <definedName name="_xlchart.v1.16" hidden="1">Quantitative!$Y$1:$Y$151</definedName>
    <definedName name="_xlchart.v1.17" hidden="1">Quantitative!$G$2:$G$151</definedName>
    <definedName name="_xlchart.v1.18" hidden="1">Quantitative!$G$2:$G$151</definedName>
    <definedName name="_xlchart.v1.2" hidden="1">Quantitative!$T$1</definedName>
    <definedName name="_xlchart.v1.3" hidden="1">Quantitative!$T$2:$T$151</definedName>
    <definedName name="_xlchart.v1.4" hidden="1">Quantitative!$U$1</definedName>
    <definedName name="_xlchart.v1.5" hidden="1">Quantitative!$U$1:$U$151</definedName>
    <definedName name="_xlchart.v1.6" hidden="1">Quantitative!$U$2:$U$151</definedName>
    <definedName name="_xlchart.v1.7" hidden="1">Quantitative!$V$1</definedName>
    <definedName name="_xlchart.v1.8" hidden="1">Quantitative!$V$1:$V$151</definedName>
    <definedName name="_xlchart.v1.9" hidden="1">Quantitative!$V$2:$V$151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1" i="2" l="1"/>
  <c r="X2" i="2" a="1"/>
  <c r="X2" i="2" s="1"/>
  <c r="W2" i="2" a="1"/>
  <c r="W2" i="2" s="1"/>
  <c r="V2" i="2" a="1"/>
  <c r="V2" i="2" s="1"/>
  <c r="U2" i="2" a="1"/>
  <c r="U2" i="2" s="1"/>
  <c r="T2" i="2" a="1"/>
  <c r="T2" i="2" s="1"/>
  <c r="G8" i="2"/>
  <c r="G67" i="2"/>
  <c r="G29" i="2"/>
  <c r="G15" i="2"/>
  <c r="G105" i="2"/>
  <c r="G26" i="2"/>
  <c r="G23" i="2"/>
  <c r="G50" i="2"/>
  <c r="G103" i="2"/>
  <c r="G90" i="2"/>
  <c r="G55" i="2"/>
  <c r="G137" i="2"/>
  <c r="G102" i="2"/>
  <c r="G10" i="2"/>
  <c r="G129" i="2"/>
  <c r="G99" i="2"/>
  <c r="G5" i="2"/>
  <c r="G22" i="2"/>
  <c r="G136" i="2"/>
  <c r="G7" i="2"/>
  <c r="G145" i="2"/>
  <c r="G62" i="2"/>
  <c r="G51" i="2"/>
  <c r="G92" i="2"/>
  <c r="G27" i="2"/>
  <c r="G118" i="2"/>
  <c r="G147" i="2"/>
  <c r="G32" i="2"/>
  <c r="G12" i="2"/>
  <c r="G82" i="2"/>
  <c r="G53" i="2"/>
  <c r="G86" i="2"/>
  <c r="G72" i="2"/>
  <c r="G106" i="2"/>
  <c r="G75" i="2"/>
  <c r="G2" i="2"/>
  <c r="G47" i="2"/>
  <c r="G135" i="2"/>
  <c r="G66" i="2"/>
  <c r="G95" i="2"/>
  <c r="G128" i="2"/>
  <c r="G140" i="2"/>
  <c r="G68" i="2"/>
  <c r="G21" i="2"/>
  <c r="G110" i="2"/>
  <c r="G111" i="2"/>
  <c r="G126" i="2"/>
  <c r="G79" i="2"/>
  <c r="G89" i="2"/>
  <c r="G45" i="2"/>
  <c r="G117" i="2"/>
  <c r="G83" i="2"/>
  <c r="G71" i="2"/>
  <c r="G4" i="2"/>
  <c r="G84" i="2"/>
  <c r="G104" i="2"/>
  <c r="G120" i="2"/>
  <c r="G131" i="2"/>
  <c r="G9" i="2"/>
  <c r="G25" i="2"/>
  <c r="G127" i="2"/>
  <c r="G60" i="2"/>
  <c r="G39" i="2"/>
  <c r="G70" i="2"/>
  <c r="G43" i="2"/>
  <c r="G101" i="2"/>
  <c r="G18" i="2"/>
  <c r="G149" i="2"/>
  <c r="G113" i="2"/>
  <c r="G24" i="2"/>
  <c r="G54" i="2"/>
  <c r="G93" i="2"/>
  <c r="G61" i="2"/>
  <c r="G125" i="2"/>
  <c r="G142" i="2"/>
  <c r="G88" i="2"/>
  <c r="G42" i="2"/>
  <c r="G56" i="2"/>
  <c r="G34" i="2"/>
  <c r="G52" i="2"/>
  <c r="G97" i="2"/>
  <c r="G14" i="2"/>
  <c r="G64" i="2"/>
  <c r="G44" i="2"/>
  <c r="G59" i="2"/>
  <c r="G37" i="2"/>
  <c r="G122" i="2"/>
  <c r="G19" i="2"/>
  <c r="G119" i="2"/>
  <c r="G40" i="2"/>
  <c r="G144" i="2"/>
  <c r="G63" i="2"/>
  <c r="G81" i="2"/>
  <c r="G85" i="2"/>
  <c r="G35" i="2"/>
  <c r="G98" i="2"/>
  <c r="G30" i="2"/>
  <c r="G124" i="2"/>
  <c r="G100" i="2"/>
  <c r="G109" i="2"/>
  <c r="G150" i="2"/>
  <c r="G65" i="2"/>
  <c r="G69" i="2"/>
  <c r="G41" i="2"/>
  <c r="G116" i="2"/>
  <c r="G74" i="2"/>
  <c r="G38" i="2"/>
  <c r="G31" i="2"/>
  <c r="G36" i="2"/>
  <c r="G77" i="2"/>
  <c r="G107" i="2"/>
  <c r="G17" i="2"/>
  <c r="G138" i="2"/>
  <c r="G49" i="2"/>
  <c r="G112" i="2"/>
  <c r="G141" i="2"/>
  <c r="G16" i="2"/>
  <c r="G3" i="2"/>
  <c r="G133" i="2"/>
  <c r="G33" i="2"/>
  <c r="G87" i="2"/>
  <c r="G6" i="2"/>
  <c r="G94" i="2"/>
  <c r="G78" i="2"/>
  <c r="G11" i="2"/>
  <c r="G46" i="2"/>
  <c r="G134" i="2"/>
  <c r="G91" i="2"/>
  <c r="G57" i="2"/>
  <c r="G146" i="2"/>
  <c r="G115" i="2"/>
  <c r="G73" i="2"/>
  <c r="G48" i="2"/>
  <c r="G148" i="2"/>
  <c r="G80" i="2"/>
  <c r="G13" i="2"/>
  <c r="G139" i="2"/>
  <c r="G130" i="2"/>
  <c r="G20" i="2"/>
  <c r="G143" i="2"/>
  <c r="G58" i="2"/>
  <c r="G132" i="2"/>
  <c r="G76" i="2"/>
  <c r="G28" i="2"/>
  <c r="G114" i="2"/>
  <c r="G96" i="2"/>
  <c r="G108" i="2"/>
  <c r="G121" i="2"/>
  <c r="G123" i="2"/>
  <c r="G3" i="1"/>
  <c r="G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<sst xmlns="http://schemas.openxmlformats.org/spreadsheetml/2006/main" count="795" uniqueCount="69">
  <si>
    <t>Brand</t>
  </si>
  <si>
    <t>Bottle size (mL)</t>
  </si>
  <si>
    <t>Price (RM)</t>
  </si>
  <si>
    <t>Product URL</t>
  </si>
  <si>
    <t>Date checked</t>
  </si>
  <si>
    <t>Servay Online</t>
  </si>
  <si>
    <t>Online store</t>
  </si>
  <si>
    <t>F&amp;N Ice Mountain</t>
  </si>
  <si>
    <t>Jaya Grocer</t>
  </si>
  <si>
    <t>https://jayagrocer.com/collections/water?page=1</t>
  </si>
  <si>
    <t>Cactus</t>
  </si>
  <si>
    <t>Jaya Grocer Mineral Water</t>
  </si>
  <si>
    <t>https://www.servayonline.com/water</t>
  </si>
  <si>
    <t>https://www.servayonline.com/beverages?direction=asc&amp;page=28&amp;sort=Products.oos</t>
  </si>
  <si>
    <t>20/10/2026</t>
  </si>
  <si>
    <t>19/10/2026</t>
  </si>
  <si>
    <t>Price per litre (RM/L)</t>
  </si>
  <si>
    <t>Product label</t>
  </si>
  <si>
    <t>Spritzer</t>
  </si>
  <si>
    <t>Bleu</t>
  </si>
  <si>
    <t>Fiji</t>
  </si>
  <si>
    <t>Volvic</t>
  </si>
  <si>
    <t>Evian</t>
  </si>
  <si>
    <t>Perrier</t>
  </si>
  <si>
    <t>Acqua Panna</t>
  </si>
  <si>
    <t>S.Pellegrino</t>
  </si>
  <si>
    <t>Lotus's</t>
  </si>
  <si>
    <t>AEON</t>
  </si>
  <si>
    <t>NSK Grocer</t>
  </si>
  <si>
    <t>Spritzer (550 mL)</t>
  </si>
  <si>
    <t>Spritzer (750 mL)</t>
  </si>
  <si>
    <t>Spritzer (1250 mL)</t>
  </si>
  <si>
    <t>Spritzer (1500 mL)</t>
  </si>
  <si>
    <t>Spritzer (6000 mL)</t>
  </si>
  <si>
    <t>Spritzer (400 mL)</t>
  </si>
  <si>
    <t>Spritzer (1000 mL)</t>
  </si>
  <si>
    <t>Cactus (600 mL)</t>
  </si>
  <si>
    <t>Cactus (1500 mL)</t>
  </si>
  <si>
    <t>Cactus (5000 mL)</t>
  </si>
  <si>
    <t>F&amp;N Ice Mountain (500 mL)</t>
  </si>
  <si>
    <t>F&amp;N Ice Mountain (1500 mL)</t>
  </si>
  <si>
    <t>Bleu (600 mL)</t>
  </si>
  <si>
    <t>Bleu (1500 mL)</t>
  </si>
  <si>
    <t>Jaya Grocer Mineral Water (300 mL)</t>
  </si>
  <si>
    <t>Jaya Grocer Mineral Water (1500 mL)</t>
  </si>
  <si>
    <t>Jaya Grocer Mineral Water (6000 mL)</t>
  </si>
  <si>
    <t>Fiji (500 mL)</t>
  </si>
  <si>
    <t>Fiji (1000 mL)</t>
  </si>
  <si>
    <t>Volvic (500 mL)</t>
  </si>
  <si>
    <t>Volvic (1500 mL)</t>
  </si>
  <si>
    <t>Evian (330 mL)</t>
  </si>
  <si>
    <t>Evian (750 mL)</t>
  </si>
  <si>
    <t>Perrier (330 mL)</t>
  </si>
  <si>
    <t>Perrier (750 mL)</t>
  </si>
  <si>
    <t>Acqua Panna (750 mL)</t>
  </si>
  <si>
    <t>Acqua Panna (1000 mL)</t>
  </si>
  <si>
    <t>S.Pellegrino (1000 mL)</t>
  </si>
  <si>
    <t>23/10/2026</t>
  </si>
  <si>
    <t>24/10/2026</t>
  </si>
  <si>
    <t>https://www.lotuss.com.my/category/beverages/water</t>
  </si>
  <si>
    <t>https://myaeon2go.com/products/category/1403828/water</t>
  </si>
  <si>
    <t>http://www.nsktrade.com/nsk5/index.php/component/search/?searchword=water&amp;searchphrase=all&amp;Itemid=101</t>
  </si>
  <si>
    <t>Row Labels</t>
  </si>
  <si>
    <t>Grand Total</t>
  </si>
  <si>
    <t>Count of Brand</t>
  </si>
  <si>
    <t>Size (mL)</t>
  </si>
  <si>
    <t>prices</t>
  </si>
  <si>
    <t>Bottom 5</t>
  </si>
  <si>
    <t>Top5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</si>
</sst>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9"/>
      <color rgb="FF7F7F7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2" borderId="0" xfId="0" applyFill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2" borderId="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center"/>
    </xf>
    <xf numFmtId="0" fontId="4" fillId="0" borderId="0" xfId="0" applyFont="1" applyAlignment="1">
      <alignment horizontal="center" vertical="center" readingOrder="1"/>
    </xf>
    <xf numFmtId="0" fontId="0" fillId="5" borderId="0" xfId="0" applyFill="1"/>
    <xf numFmtId="0" fontId="0" fillId="5" borderId="0" xfId="0" applyFill="1" applyAlignment="1">
      <alignment horizontal="center"/>
    </xf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Bottle Size vs Price per Litre: Top 5 and Bottom 5 Products</a:t>
            </a:r>
            <a:endParaRPr lang="en-US" baseline="0"/>
          </a:p>
        </c:rich>
      </c:tx>
      <c:layout>
        <c:manualLayout>
          <c:xMode val="edge"/>
          <c:yMode val="edge"/>
          <c:x val="0.158025042186916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94191014253488E-2"/>
          <c:y val="0.15255019127724448"/>
          <c:w val="0.88160935448208144"/>
          <c:h val="0.69478164664370279"/>
        </c:manualLayout>
      </c:layout>
      <c:scatterChart>
        <c:scatterStyle val="lineMarker"/>
        <c:varyColors val="0"/>
        <c:ser>
          <c:idx val="0"/>
          <c:order val="0"/>
          <c:tx>
            <c:strRef>
              <c:f>Quantitative!$O$1</c:f>
              <c:strCache>
                <c:ptCount val="1"/>
                <c:pt idx="0">
                  <c:v>Size (mL)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50000"/>
                    <a:lumOff val="50000"/>
                  </a:schemeClr>
                </a:solidFill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50000"/>
                    <a:lumOff val="50000"/>
                  </a:schemeClr>
                </a:solidFill>
              </a:ln>
              <a:effectLst/>
            </c:spPr>
          </c:errBars>
          <c:xVal>
            <c:numRef>
              <c:f>Quantitative!$N$2:$N$151</c:f>
              <c:numCache>
                <c:formatCode>General</c:formatCode>
                <c:ptCount val="150"/>
                <c:pt idx="0">
                  <c:v>26.54</c:v>
                </c:pt>
                <c:pt idx="1">
                  <c:v>16.54</c:v>
                </c:pt>
                <c:pt idx="2">
                  <c:v>14.72</c:v>
                </c:pt>
                <c:pt idx="3">
                  <c:v>11.64</c:v>
                </c:pt>
                <c:pt idx="4">
                  <c:v>11.61</c:v>
                </c:pt>
                <c:pt idx="5">
                  <c:v>0.94</c:v>
                </c:pt>
                <c:pt idx="6">
                  <c:v>0.98</c:v>
                </c:pt>
                <c:pt idx="7">
                  <c:v>1</c:v>
                </c:pt>
                <c:pt idx="8">
                  <c:v>1</c:v>
                </c:pt>
                <c:pt idx="9">
                  <c:v>1.006</c:v>
                </c:pt>
              </c:numCache>
            </c:numRef>
          </c:xVal>
          <c:yVal>
            <c:numRef>
              <c:f>Quantitative!$O$2:$O$151</c:f>
              <c:numCache>
                <c:formatCode>General</c:formatCode>
                <c:ptCount val="150"/>
                <c:pt idx="0">
                  <c:v>330</c:v>
                </c:pt>
                <c:pt idx="1">
                  <c:v>750</c:v>
                </c:pt>
                <c:pt idx="2">
                  <c:v>750</c:v>
                </c:pt>
                <c:pt idx="3">
                  <c:v>500</c:v>
                </c:pt>
                <c:pt idx="4">
                  <c:v>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1E-4840-AD3E-1C92AD3F9CA1}"/>
            </c:ext>
          </c:extLst>
        </c:ser>
        <c:ser>
          <c:idx val="1"/>
          <c:order val="1"/>
          <c:tx>
            <c:v>Top 5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Pt>
            <c:idx val="2"/>
            <c:marker>
              <c:symbol val="circle"/>
              <c:size val="4"/>
              <c:spPr>
                <a:solidFill>
                  <a:schemeClr val="accent2"/>
                </a:solidFill>
                <a:ln w="9525" cap="flat" cmpd="sng" algn="ctr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spPr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1E-4840-AD3E-1C92AD3F9CA1}"/>
              </c:ext>
            </c:extLst>
          </c:dPt>
          <c:errBars>
            <c:errDir val="x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50000"/>
                    <a:lumOff val="50000"/>
                  </a:schemeClr>
                </a:solidFill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50000"/>
                    <a:lumOff val="50000"/>
                  </a:schemeClr>
                </a:solidFill>
              </a:ln>
              <a:effectLst/>
            </c:spPr>
          </c:errBars>
          <c:xVal>
            <c:numRef>
              <c:f>Quantitative!$R$2:$R$6</c:f>
              <c:numCache>
                <c:formatCode>General</c:formatCode>
                <c:ptCount val="5"/>
                <c:pt idx="0">
                  <c:v>26.54</c:v>
                </c:pt>
                <c:pt idx="1">
                  <c:v>16.54</c:v>
                </c:pt>
                <c:pt idx="2">
                  <c:v>14.72</c:v>
                </c:pt>
                <c:pt idx="3">
                  <c:v>11.64</c:v>
                </c:pt>
                <c:pt idx="4">
                  <c:v>11.61</c:v>
                </c:pt>
              </c:numCache>
            </c:numRef>
          </c:xVal>
          <c:yVal>
            <c:numRef>
              <c:f>Quantitative!$O$2:$O$6</c:f>
              <c:numCache>
                <c:formatCode>General</c:formatCode>
                <c:ptCount val="5"/>
                <c:pt idx="0">
                  <c:v>330</c:v>
                </c:pt>
                <c:pt idx="1">
                  <c:v>750</c:v>
                </c:pt>
                <c:pt idx="2">
                  <c:v>750</c:v>
                </c:pt>
                <c:pt idx="3">
                  <c:v>500</c:v>
                </c:pt>
                <c:pt idx="4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1E-4840-AD3E-1C92AD3F9CA1}"/>
            </c:ext>
          </c:extLst>
        </c:ser>
        <c:ser>
          <c:idx val="2"/>
          <c:order val="2"/>
          <c:tx>
            <c:v>Bottom 5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50000"/>
                    <a:lumOff val="50000"/>
                  </a:schemeClr>
                </a:solidFill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dk1">
                    <a:lumMod val="50000"/>
                    <a:lumOff val="50000"/>
                  </a:schemeClr>
                </a:solidFill>
              </a:ln>
              <a:effectLst/>
            </c:spPr>
          </c:errBars>
          <c:xVal>
            <c:numRef>
              <c:f>Quantitative!$Q$2:$Q$6</c:f>
              <c:numCache>
                <c:formatCode>General</c:formatCode>
                <c:ptCount val="5"/>
                <c:pt idx="0">
                  <c:v>0.94</c:v>
                </c:pt>
                <c:pt idx="1">
                  <c:v>0.98</c:v>
                </c:pt>
                <c:pt idx="2">
                  <c:v>1</c:v>
                </c:pt>
                <c:pt idx="3">
                  <c:v>1</c:v>
                </c:pt>
                <c:pt idx="4">
                  <c:v>1.006</c:v>
                </c:pt>
              </c:numCache>
            </c:numRef>
          </c:xVal>
          <c:yVal>
            <c:numRef>
              <c:f>Quantitative!$O$7:$O$11</c:f>
              <c:numCache>
                <c:formatCode>General</c:formatCode>
                <c:ptCount val="5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1E-4840-AD3E-1C92AD3F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943903"/>
        <c:axId val="1794421375"/>
      </c:scatterChart>
      <c:valAx>
        <c:axId val="179794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 i="0" u="none" strike="noStrike" baseline="0">
                    <a:effectLst/>
                  </a:rPr>
                  <a:t>Price per Litre (RM)</a:t>
                </a:r>
                <a:r>
                  <a:rPr lang="en-GB" sz="900" b="1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21375"/>
        <c:crosses val="autoZero"/>
        <c:crossBetween val="midCat"/>
      </c:valAx>
      <c:valAx>
        <c:axId val="179442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 i="0" u="none" strike="noStrike" kern="1200" baseline="0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</a:rPr>
                  <a:t>Size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943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[241090104-5Redhwan ali_Assignment_statistic.xlsx]qualitative!PivotTable5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Product Listings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qualitative!$C$2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qualitative!$B$3:$B$14</c:f>
              <c:strCache>
                <c:ptCount val="11"/>
                <c:pt idx="0">
                  <c:v>Acqua Panna</c:v>
                </c:pt>
                <c:pt idx="1">
                  <c:v>Bleu</c:v>
                </c:pt>
                <c:pt idx="2">
                  <c:v>Cactus</c:v>
                </c:pt>
                <c:pt idx="3">
                  <c:v>Evian</c:v>
                </c:pt>
                <c:pt idx="4">
                  <c:v>F&amp;N Ice Mountain</c:v>
                </c:pt>
                <c:pt idx="5">
                  <c:v>Fiji</c:v>
                </c:pt>
                <c:pt idx="6">
                  <c:v>Jaya Grocer Mineral Water</c:v>
                </c:pt>
                <c:pt idx="7">
                  <c:v>Perrier</c:v>
                </c:pt>
                <c:pt idx="8">
                  <c:v>S.Pellegrino</c:v>
                </c:pt>
                <c:pt idx="9">
                  <c:v>Spritzer</c:v>
                </c:pt>
                <c:pt idx="10">
                  <c:v>Volvic</c:v>
                </c:pt>
              </c:strCache>
            </c:strRef>
          </c:cat>
          <c:val>
            <c:numRef>
              <c:f>qualitative!$C$3:$C$14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10</c:v>
                </c:pt>
                <c:pt idx="8">
                  <c:v>5</c:v>
                </c:pt>
                <c:pt idx="9">
                  <c:v>45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3-4805-885F-6B240A23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8537951"/>
        <c:axId val="1788538431"/>
      </c:barChart>
      <c:catAx>
        <c:axId val="178853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538431"/>
        <c:crosses val="autoZero"/>
        <c:auto val="1"/>
        <c:lblAlgn val="ctr"/>
        <c:lblOffset val="100"/>
        <c:noMultiLvlLbl val="0"/>
      </c:catAx>
      <c:valAx>
        <c:axId val="178853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537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_xlchart.v1.6</cx:f>
      </cx:numDim>
    </cx:data>
    <cx:data id="2">
      <cx:numDim type="val">
        <cx:f>_xlchart.v1.9</cx:f>
      </cx:numDim>
    </cx:data>
    <cx:data id="3">
      <cx:numDim type="val">
        <cx:f>_xlchart.v1.12</cx:f>
      </cx:numDim>
    </cx:data>
    <cx:data id="4">
      <cx:numDim type="val">
        <cx:f>_xlchart.v1.15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b="1"/>
              <a:t>Comparison of Price per Litre by Store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2D0BA848-A213-4BEF-810E-425307D190F9}">
          <cx:tx>
            <cx:txData>
              <cx:f>_xlchart.v1.2</cx:f>
              <cx:v>Jaya Grocer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7F457C9-1136-420D-8E29-E5B2C2A5C864}">
          <cx:tx>
            <cx:txData>
              <cx:f>_xlchart.v1.4</cx:f>
              <cx:v>Servay Online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BAEAC21-D127-4386-95BE-73DC2F7A9076}">
          <cx:tx>
            <cx:txData>
              <cx:f>_xlchart.v1.7</cx:f>
              <cx:v>Lotus's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EDE55179-CC52-4E49-AC21-FDF891FD2646}">
          <cx:tx>
            <cx:txData>
              <cx:f>_xlchart.v1.10</cx:f>
              <cx:v>AEON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B6FBDAC6-86E0-4709-945D-278F56C42D7A}">
          <cx:tx>
            <cx:txData>
              <cx:f>_xlchart.v1.13</cx:f>
              <cx:v>NSK Grocer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GB"/>
                  <a:t>Online Store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GB"/>
                  <a:t>Price per Litre (RM/L)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b="1"/>
              <a:t>Distribution of Bottled Water Prices per Litre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E5299F0-234C-4905-97C1-84C051B6ECE2}">
          <cx:spPr>
            <a:pattFill prst="weave">
              <a:fgClr>
                <a:srgbClr val="002060"/>
              </a:fgClr>
              <a:bgClr>
                <a:srgbClr val="0070C0"/>
              </a:bgClr>
            </a:pattFill>
            <a:effectLst>
              <a:softEdge rad="0"/>
            </a:effectLst>
          </cx:spPr>
          <cx:dataLabels>
            <cx:visibility seriesName="0" categoryName="0" value="1"/>
          </cx:dataLabels>
          <cx:dataId val="0"/>
          <cx:layoutPr>
            <cx:binning intervalClosed="r">
              <cx:binSize val="4"/>
            </cx:binning>
          </cx:layoutPr>
        </cx:series>
      </cx:plotAreaRegion>
      <cx:axis id="0">
        <cx:catScaling gapWidth="0"/>
        <cx:tickLabels/>
        <cx:numFmt formatCode="General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4838</xdr:colOff>
      <xdr:row>11</xdr:row>
      <xdr:rowOff>138490</xdr:rowOff>
    </xdr:from>
    <xdr:to>
      <xdr:col>18</xdr:col>
      <xdr:colOff>881742</xdr:colOff>
      <xdr:row>35</xdr:row>
      <xdr:rowOff>163286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0BAD13-34D0-2413-E686-AE0C79DE4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1164772</xdr:colOff>
      <xdr:row>31</xdr:row>
      <xdr:rowOff>65314</xdr:rowOff>
    </xdr:from>
    <xdr:to>
      <xdr:col>25</xdr:col>
      <xdr:colOff>261257</xdr:colOff>
      <xdr:row>57</xdr:row>
      <xdr:rowOff>10886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3190AC2-7C35-440A-77AB-536DEFB7C5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70286" y="5802085"/>
              <a:ext cx="6302828" cy="47570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54428</xdr:colOff>
      <xdr:row>0</xdr:row>
      <xdr:rowOff>76199</xdr:rowOff>
    </xdr:from>
    <xdr:to>
      <xdr:col>12</xdr:col>
      <xdr:colOff>522515</xdr:colOff>
      <xdr:row>18</xdr:row>
      <xdr:rowOff>54427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6877906-5D6F-974C-43FF-CAD5BC2EE8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5971" y="76199"/>
              <a:ext cx="4659087" cy="33092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1</xdr:row>
      <xdr:rowOff>15240</xdr:rowOff>
    </xdr:from>
    <xdr:to>
      <xdr:col>12</xdr:col>
      <xdr:colOff>327660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B1B71-27CB-BE86-3D41-F4CBABFE2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wan ali" refreshedDate="46318.23112546296" createdVersion="8" refreshedVersion="8" minRefreshableVersion="3" recordCount="150" xr:uid="{DD3CCBF0-9C92-48F6-9772-F85A282EE215}">
  <cacheSource type="worksheet">
    <worksheetSource ref="A1:H151" sheet="data collection"/>
  </cacheSource>
  <cacheFields count="8">
    <cacheField name="Brand" numFmtId="0">
      <sharedItems count="11">
        <s v="Spritzer"/>
        <s v="Cactus"/>
        <s v="F&amp;N Ice Mountain"/>
        <s v="Bleu"/>
        <s v="Jaya Grocer Mineral Water"/>
        <s v="Fiji"/>
        <s v="Volvic"/>
        <s v="Evian"/>
        <s v="Perrier"/>
        <s v="Acqua Panna"/>
        <s v="S.Pellegrino"/>
      </sharedItems>
    </cacheField>
    <cacheField name="Bottle size (mL)" numFmtId="0">
      <sharedItems containsSemiMixedTypes="0" containsString="0" containsNumber="1" containsInteger="1" minValue="300" maxValue="6000"/>
    </cacheField>
    <cacheField name="Price (RM)" numFmtId="0">
      <sharedItems containsSemiMixedTypes="0" containsString="0" containsNumber="1" minValue="0.66" maxValue="13.18"/>
    </cacheField>
    <cacheField name="Online store" numFmtId="0">
      <sharedItems count="5">
        <s v="Jaya Grocer"/>
        <s v="Servay Online"/>
        <s v="Lotus's"/>
        <s v="AEON"/>
        <s v="NSK Grocer"/>
      </sharedItems>
    </cacheField>
    <cacheField name="Product URL" numFmtId="0">
      <sharedItems/>
    </cacheField>
    <cacheField name="Date checked" numFmtId="0">
      <sharedItems/>
    </cacheField>
    <cacheField name="Price per litre (RM/L)" numFmtId="0">
      <sharedItems containsSemiMixedTypes="0" containsString="0" containsNumber="1" minValue="0.94" maxValue="26.545454545454543"/>
    </cacheField>
    <cacheField name="Product 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n v="550"/>
    <n v="1.54"/>
    <x v="0"/>
    <s v="https://jayagrocer.com/collections/water?page=1"/>
    <s v="19/10/2026"/>
    <n v="2.8"/>
    <s v="Spritzer (550 mL)"/>
  </r>
  <r>
    <x v="0"/>
    <n v="750"/>
    <n v="2.36"/>
    <x v="0"/>
    <s v="https://jayagrocer.com/collections/water?page=1"/>
    <s v="19/10/2026"/>
    <n v="3.1466666666666665"/>
    <s v="Spritzer (750 mL)"/>
  </r>
  <r>
    <x v="0"/>
    <n v="1250"/>
    <n v="2.72"/>
    <x v="0"/>
    <s v="https://jayagrocer.com/collections/water?page=1"/>
    <s v="19/10/2026"/>
    <n v="2.1760000000000002"/>
    <s v="Spritzer (1250 mL)"/>
  </r>
  <r>
    <x v="0"/>
    <n v="1500"/>
    <n v="3.01"/>
    <x v="0"/>
    <s v="https://jayagrocer.com/collections/water?page=1"/>
    <s v="19/10/2026"/>
    <n v="2.0066666666666664"/>
    <s v="Spritzer (1500 mL)"/>
  </r>
  <r>
    <x v="0"/>
    <n v="6000"/>
    <n v="9.9499999999999993"/>
    <x v="0"/>
    <s v="https://jayagrocer.com/collections/water?page=1"/>
    <s v="19/10/2026"/>
    <n v="1.6583333333333332"/>
    <s v="Spritzer (6000 mL)"/>
  </r>
  <r>
    <x v="0"/>
    <n v="400"/>
    <n v="1.99"/>
    <x v="0"/>
    <s v="https://jayagrocer.com/collections/water?page=1"/>
    <s v="19/10/2026"/>
    <n v="4.9749999999999996"/>
    <s v="Spritzer (400 mL)"/>
  </r>
  <r>
    <x v="0"/>
    <n v="1000"/>
    <n v="3.82"/>
    <x v="0"/>
    <s v="https://jayagrocer.com/collections/water?page=1"/>
    <s v="19/10/2026"/>
    <n v="3.82"/>
    <s v="Spritzer (1000 mL)"/>
  </r>
  <r>
    <x v="0"/>
    <n v="1250"/>
    <n v="2.5499999999999998"/>
    <x v="0"/>
    <s v="https://jayagrocer.com/collections/water?page=1"/>
    <s v="19/10/2026"/>
    <n v="2.04"/>
    <s v="Spritzer (1250 mL)"/>
  </r>
  <r>
    <x v="0"/>
    <n v="6000"/>
    <n v="10.210000000000001"/>
    <x v="0"/>
    <s v="https://jayagrocer.com/collections/water?page=1"/>
    <s v="19/10/2026"/>
    <n v="1.7016666666666669"/>
    <s v="Spritzer (6000 mL)"/>
  </r>
  <r>
    <x v="1"/>
    <n v="600"/>
    <n v="0.91"/>
    <x v="0"/>
    <s v="https://jayagrocer.com/collections/water?page=1"/>
    <s v="19/10/2026"/>
    <n v="1.5166666666666668"/>
    <s v="Cactus (600 mL)"/>
  </r>
  <r>
    <x v="1"/>
    <n v="1500"/>
    <n v="1.5"/>
    <x v="0"/>
    <s v="https://www.servayonline.com/water"/>
    <s v="20/10/2026"/>
    <n v="1"/>
    <s v="Cactus (1500 mL)"/>
  </r>
  <r>
    <x v="1"/>
    <n v="5000"/>
    <n v="6.47"/>
    <x v="0"/>
    <s v="https://www.servayonline.com/water"/>
    <s v="20/10/2026"/>
    <n v="1.294"/>
    <s v="Cactus (5000 mL)"/>
  </r>
  <r>
    <x v="2"/>
    <n v="500"/>
    <n v="0.77"/>
    <x v="0"/>
    <s v="https://www.servayonline.com/water"/>
    <s v="20/10/2026"/>
    <n v="1.54"/>
    <s v="F&amp;N Ice Mountain (500 mL)"/>
  </r>
  <r>
    <x v="2"/>
    <n v="1500"/>
    <n v="1.51"/>
    <x v="0"/>
    <s v="https://www.servayonline.com/water"/>
    <s v="20/10/2026"/>
    <n v="1.0066666666666666"/>
    <s v="F&amp;N Ice Mountain (1500 mL)"/>
  </r>
  <r>
    <x v="3"/>
    <n v="600"/>
    <n v="0.79"/>
    <x v="0"/>
    <s v="https://www.servayonline.com/water"/>
    <s v="20/10/2026"/>
    <n v="1.3166666666666669"/>
    <s v="Bleu (600 mL)"/>
  </r>
  <r>
    <x v="3"/>
    <n v="1500"/>
    <n v="1.8"/>
    <x v="0"/>
    <s v="https://www.servayonline.com/water"/>
    <s v="20/10/2026"/>
    <n v="1.2"/>
    <s v="Bleu (1500 mL)"/>
  </r>
  <r>
    <x v="4"/>
    <n v="300"/>
    <n v="0.71"/>
    <x v="0"/>
    <s v="https://www.servayonline.com/water"/>
    <s v="20/10/2026"/>
    <n v="2.3666666666666667"/>
    <s v="Jaya Grocer Mineral Water (300 mL)"/>
  </r>
  <r>
    <x v="4"/>
    <n v="1500"/>
    <n v="2.0099999999999998"/>
    <x v="0"/>
    <s v="https://www.servayonline.com/water"/>
    <s v="20/10/2026"/>
    <n v="1.3399999999999999"/>
    <s v="Jaya Grocer Mineral Water (1500 mL)"/>
  </r>
  <r>
    <x v="4"/>
    <n v="6000"/>
    <n v="8.08"/>
    <x v="0"/>
    <s v="https://www.servayonline.com/water"/>
    <s v="20/10/2026"/>
    <n v="1.3466666666666667"/>
    <s v="Jaya Grocer Mineral Water (6000 mL)"/>
  </r>
  <r>
    <x v="5"/>
    <n v="500"/>
    <n v="8.17"/>
    <x v="0"/>
    <s v="https://www.servayonline.com/water"/>
    <s v="20/10/2026"/>
    <n v="16.34"/>
    <s v="Fiji (500 mL)"/>
  </r>
  <r>
    <x v="5"/>
    <n v="1000"/>
    <n v="11.45"/>
    <x v="0"/>
    <s v="https://www.servayonline.com/water"/>
    <s v="20/10/2026"/>
    <n v="11.45"/>
    <s v="Fiji (1000 mL)"/>
  </r>
  <r>
    <x v="6"/>
    <n v="500"/>
    <n v="5.33"/>
    <x v="0"/>
    <s v="https://www.servayonline.com/water"/>
    <s v="20/10/2026"/>
    <n v="10.66"/>
    <s v="Volvic (500 mL)"/>
  </r>
  <r>
    <x v="6"/>
    <n v="1500"/>
    <n v="10.130000000000001"/>
    <x v="0"/>
    <s v="https://www.servayonline.com/water"/>
    <s v="23/10/2026"/>
    <n v="6.7533333333333339"/>
    <s v="Volvic (1500 mL)"/>
  </r>
  <r>
    <x v="7"/>
    <n v="330"/>
    <n v="5.43"/>
    <x v="0"/>
    <s v="https://www.servayonline.com/water"/>
    <s v="23/10/2026"/>
    <n v="16.454545454545453"/>
    <s v="Evian (330 mL)"/>
  </r>
  <r>
    <x v="7"/>
    <n v="750"/>
    <n v="10.75"/>
    <x v="0"/>
    <s v="https://www.servayonline.com/water"/>
    <s v="23/10/2026"/>
    <n v="14.333333333333334"/>
    <s v="Evian (750 mL)"/>
  </r>
  <r>
    <x v="8"/>
    <n v="330"/>
    <n v="7.88"/>
    <x v="0"/>
    <s v="https://www.servayonline.com/water"/>
    <s v="23/10/2026"/>
    <n v="23.878787878787879"/>
    <s v="Perrier (330 mL)"/>
  </r>
  <r>
    <x v="8"/>
    <n v="750"/>
    <n v="10.95"/>
    <x v="0"/>
    <s v="https://www.servayonline.com/water"/>
    <s v="23/10/2026"/>
    <n v="14.6"/>
    <s v="Perrier (750 mL)"/>
  </r>
  <r>
    <x v="9"/>
    <n v="750"/>
    <n v="11.04"/>
    <x v="0"/>
    <s v="https://www.servayonline.com/water"/>
    <s v="23/10/2026"/>
    <n v="14.719999999999999"/>
    <s v="Acqua Panna (750 mL)"/>
  </r>
  <r>
    <x v="9"/>
    <n v="1000"/>
    <n v="11.45"/>
    <x v="0"/>
    <s v="https://www.servayonline.com/water"/>
    <s v="23/10/2026"/>
    <n v="11.45"/>
    <s v="Acqua Panna (1000 mL)"/>
  </r>
  <r>
    <x v="10"/>
    <n v="1000"/>
    <n v="11.61"/>
    <x v="0"/>
    <s v="https://www.servayonline.com/water"/>
    <s v="23/10/2026"/>
    <n v="11.61"/>
    <s v="S.Pellegrino (1000 mL)"/>
  </r>
  <r>
    <x v="0"/>
    <n v="550"/>
    <n v="1.52"/>
    <x v="1"/>
    <s v="https://www.servayonline.com/beverages?direction=asc&amp;page=28&amp;sort=Products.oos"/>
    <s v="23/10/2026"/>
    <n v="2.7636363636363632"/>
    <s v="Spritzer (550 mL)"/>
  </r>
  <r>
    <x v="0"/>
    <n v="750"/>
    <n v="2.35"/>
    <x v="1"/>
    <s v="https://www.servayonline.com/beverages?direction=asc&amp;page=28&amp;sort=Products.oos"/>
    <s v="23/10/2026"/>
    <n v="3.1333333333333333"/>
    <s v="Spritzer (750 mL)"/>
  </r>
  <r>
    <x v="0"/>
    <n v="1250"/>
    <n v="2.78"/>
    <x v="1"/>
    <s v="https://www.servayonline.com/beverages?direction=asc&amp;page=28&amp;sort=Products.oos"/>
    <s v="23/10/2026"/>
    <n v="2.2239999999999998"/>
    <s v="Spritzer (1250 mL)"/>
  </r>
  <r>
    <x v="0"/>
    <n v="1500"/>
    <n v="3.15"/>
    <x v="1"/>
    <s v="https://www.servayonline.com/beverages?direction=asc&amp;page=28&amp;sort=Products.oos"/>
    <s v="23/10/2026"/>
    <n v="2.1"/>
    <s v="Spritzer (1500 mL)"/>
  </r>
  <r>
    <x v="0"/>
    <n v="6000"/>
    <n v="9.5"/>
    <x v="1"/>
    <s v="https://www.servayonline.com/beverages?direction=asc&amp;page=28&amp;sort=Products.oos"/>
    <s v="23/10/2026"/>
    <n v="1.5833333333333333"/>
    <s v="Spritzer (6000 mL)"/>
  </r>
  <r>
    <x v="0"/>
    <n v="400"/>
    <n v="1.81"/>
    <x v="1"/>
    <s v="https://www.servayonline.com/beverages?direction=asc&amp;page=28&amp;sort=Products.oos"/>
    <s v="23/10/2026"/>
    <n v="4.5249999999999995"/>
    <s v="Spritzer (400 mL)"/>
  </r>
  <r>
    <x v="0"/>
    <n v="1000"/>
    <n v="3.69"/>
    <x v="1"/>
    <s v="https://www.servayonline.com/beverages?direction=asc&amp;page=28&amp;sort=Products.oos"/>
    <s v="23/10/2026"/>
    <n v="3.69"/>
    <s v="Spritzer (1000 mL)"/>
  </r>
  <r>
    <x v="0"/>
    <n v="1250"/>
    <n v="2.5499999999999998"/>
    <x v="1"/>
    <s v="https://www.servayonline.com/beverages?direction=asc&amp;page=28&amp;sort=Products.oos"/>
    <s v="23/10/2026"/>
    <n v="2.04"/>
    <s v="Spritzer (1250 mL)"/>
  </r>
  <r>
    <x v="0"/>
    <n v="6000"/>
    <n v="9.93"/>
    <x v="1"/>
    <s v="https://www.servayonline.com/beverages?direction=asc&amp;page=28&amp;sort=Products.oos"/>
    <s v="23/10/2026"/>
    <n v="1.655"/>
    <s v="Spritzer (6000 mL)"/>
  </r>
  <r>
    <x v="1"/>
    <n v="600"/>
    <n v="0.88"/>
    <x v="1"/>
    <s v="https://www.servayonline.com/beverages?direction=asc&amp;page=28&amp;sort=Products.oos"/>
    <s v="23/10/2026"/>
    <n v="1.4666666666666668"/>
    <s v="Cactus (600 mL)"/>
  </r>
  <r>
    <x v="1"/>
    <n v="1500"/>
    <n v="1.5"/>
    <x v="1"/>
    <s v="https://www.servayonline.com/beverages?direction=asc&amp;page=28&amp;sort=Products.oos"/>
    <s v="23/10/2026"/>
    <n v="1"/>
    <s v="Cactus (1500 mL)"/>
  </r>
  <r>
    <x v="1"/>
    <n v="5000"/>
    <n v="6.13"/>
    <x v="1"/>
    <s v="https://www.servayonline.com/beverages?direction=asc&amp;page=28&amp;sort=Products.oos"/>
    <s v="23/10/2026"/>
    <n v="1.226"/>
    <s v="Cactus (5000 mL)"/>
  </r>
  <r>
    <x v="2"/>
    <n v="500"/>
    <n v="0.82"/>
    <x v="1"/>
    <s v="https://www.servayonline.com/beverages?direction=asc&amp;page=28&amp;sort=Products.oos"/>
    <s v="23/10/2026"/>
    <n v="1.64"/>
    <s v="F&amp;N Ice Mountain (500 mL)"/>
  </r>
  <r>
    <x v="2"/>
    <n v="1500"/>
    <n v="1.47"/>
    <x v="1"/>
    <s v="https://www.servayonline.com/beverages?direction=asc&amp;page=28&amp;sort=Products.oos"/>
    <s v="23/10/2026"/>
    <n v="0.98"/>
    <s v="F&amp;N Ice Mountain (1500 mL)"/>
  </r>
  <r>
    <x v="3"/>
    <n v="600"/>
    <n v="0.81"/>
    <x v="1"/>
    <s v="https://www.servayonline.com/beverages?direction=asc&amp;page=28&amp;sort=Products.oos"/>
    <s v="23/10/2026"/>
    <n v="1.35"/>
    <s v="Bleu (600 mL)"/>
  </r>
  <r>
    <x v="3"/>
    <n v="1500"/>
    <n v="1.8"/>
    <x v="1"/>
    <s v="https://www.servayonline.com/beverages?direction=asc&amp;page=28&amp;sort=Products.oos"/>
    <s v="23/10/2026"/>
    <n v="1.2"/>
    <s v="Bleu (1500 mL)"/>
  </r>
  <r>
    <x v="4"/>
    <n v="300"/>
    <n v="0.7"/>
    <x v="1"/>
    <s v="https://www.servayonline.com/beverages?direction=asc&amp;page=28&amp;sort=Products.oos"/>
    <s v="23/10/2026"/>
    <n v="2.3333333333333335"/>
    <s v="Jaya Grocer Mineral Water (300 mL)"/>
  </r>
  <r>
    <x v="4"/>
    <n v="1500"/>
    <n v="1.89"/>
    <x v="1"/>
    <s v="https://www.servayonline.com/beverages?direction=asc&amp;page=28&amp;sort=Products.oos"/>
    <s v="23/10/2026"/>
    <n v="1.26"/>
    <s v="Jaya Grocer Mineral Water (1500 mL)"/>
  </r>
  <r>
    <x v="4"/>
    <n v="6000"/>
    <n v="7.44"/>
    <x v="1"/>
    <s v="https://www.servayonline.com/beverages?direction=asc&amp;page=28&amp;sort=Products.oos"/>
    <s v="23/10/2026"/>
    <n v="1.24"/>
    <s v="Jaya Grocer Mineral Water (6000 mL)"/>
  </r>
  <r>
    <x v="5"/>
    <n v="500"/>
    <n v="7.71"/>
    <x v="1"/>
    <s v="https://www.servayonline.com/beverages?direction=asc&amp;page=28&amp;sort=Products.oos"/>
    <s v="23/10/2026"/>
    <n v="15.42"/>
    <s v="Fiji (500 mL)"/>
  </r>
  <r>
    <x v="5"/>
    <n v="1000"/>
    <n v="11.46"/>
    <x v="1"/>
    <s v="https://www.servayonline.com/beverages?direction=asc&amp;page=28&amp;sort=Products.oos"/>
    <s v="23/10/2026"/>
    <n v="11.46"/>
    <s v="Fiji (1000 mL)"/>
  </r>
  <r>
    <x v="6"/>
    <n v="500"/>
    <n v="5.04"/>
    <x v="1"/>
    <s v="https://www.servayonline.com/beverages?direction=asc&amp;page=28&amp;sort=Products.oos"/>
    <s v="23/10/2026"/>
    <n v="10.08"/>
    <s v="Volvic (500 mL)"/>
  </r>
  <r>
    <x v="6"/>
    <n v="1500"/>
    <n v="10.26"/>
    <x v="1"/>
    <s v="https://www.servayonline.com/beverages?direction=asc&amp;page=28&amp;sort=Products.oos"/>
    <s v="23/10/2026"/>
    <n v="6.84"/>
    <s v="Volvic (1500 mL)"/>
  </r>
  <r>
    <x v="7"/>
    <n v="330"/>
    <n v="5"/>
    <x v="1"/>
    <s v="https://www.servayonline.com/beverages?direction=asc&amp;page=28&amp;sort=Products.oos"/>
    <s v="23/10/2026"/>
    <n v="15.15151515151515"/>
    <s v="Evian (330 mL)"/>
  </r>
  <r>
    <x v="7"/>
    <n v="750"/>
    <n v="10.27"/>
    <x v="1"/>
    <s v="https://www.servayonline.com/beverages?direction=asc&amp;page=28&amp;sort=Products.oos"/>
    <s v="23/10/2026"/>
    <n v="13.693333333333333"/>
    <s v="Evian (750 mL)"/>
  </r>
  <r>
    <x v="8"/>
    <n v="330"/>
    <n v="7.77"/>
    <x v="1"/>
    <s v="https://www.servayonline.com/beverages?direction=asc&amp;page=28&amp;sort=Products.oos"/>
    <s v="23/10/2026"/>
    <n v="23.545454545454543"/>
    <s v="Perrier (330 mL)"/>
  </r>
  <r>
    <x v="8"/>
    <n v="750"/>
    <n v="10.38"/>
    <x v="1"/>
    <s v="https://www.servayonline.com/beverages?direction=asc&amp;page=28&amp;sort=Products.oos"/>
    <s v="23/10/2026"/>
    <n v="13.840000000000002"/>
    <s v="Perrier (750 mL)"/>
  </r>
  <r>
    <x v="9"/>
    <n v="750"/>
    <n v="10.81"/>
    <x v="1"/>
    <s v="https://www.servayonline.com/beverages?direction=asc&amp;page=28&amp;sort=Products.oos"/>
    <s v="23/10/2026"/>
    <n v="14.413333333333334"/>
    <s v="Acqua Panna (750 mL)"/>
  </r>
  <r>
    <x v="9"/>
    <n v="1000"/>
    <n v="10.69"/>
    <x v="1"/>
    <s v="https://www.servayonline.com/beverages?direction=asc&amp;page=28&amp;sort=Products.oos"/>
    <s v="23/10/2026"/>
    <n v="10.69"/>
    <s v="Acqua Panna (1000 mL)"/>
  </r>
  <r>
    <x v="10"/>
    <n v="1000"/>
    <n v="10.86"/>
    <x v="1"/>
    <s v="https://www.servayonline.com/beverages?direction=asc&amp;page=28&amp;sort=Products.oos"/>
    <s v="23/10/2026"/>
    <n v="10.86"/>
    <s v="S.Pellegrino (1000 mL)"/>
  </r>
  <r>
    <x v="0"/>
    <n v="550"/>
    <n v="1.64"/>
    <x v="2"/>
    <s v="https://www.lotuss.com.my/category/beverages/water"/>
    <s v="23/10/2026"/>
    <n v="2.9818181818181815"/>
    <s v="Spritzer (550 mL)"/>
  </r>
  <r>
    <x v="0"/>
    <n v="750"/>
    <n v="2.4300000000000002"/>
    <x v="2"/>
    <s v="https://www.lotuss.com.my/category/beverages/water"/>
    <s v="23/10/2026"/>
    <n v="3.24"/>
    <s v="Spritzer (750 mL)"/>
  </r>
  <r>
    <x v="0"/>
    <n v="1250"/>
    <n v="2.95"/>
    <x v="2"/>
    <s v="https://www.lotuss.com.my/category/beverages/water"/>
    <s v="23/10/2026"/>
    <n v="2.3600000000000003"/>
    <s v="Spritzer (1250 mL)"/>
  </r>
  <r>
    <x v="0"/>
    <n v="1500"/>
    <n v="3.35"/>
    <x v="2"/>
    <s v="https://www.lotuss.com.my/category/beverages/water"/>
    <s v="23/10/2026"/>
    <n v="2.2333333333333334"/>
    <s v="Spritzer (1500 mL)"/>
  </r>
  <r>
    <x v="0"/>
    <n v="6000"/>
    <n v="10.19"/>
    <x v="2"/>
    <s v="https://www.lotuss.com.my/category/beverages/water"/>
    <s v="23/10/2026"/>
    <n v="1.6983333333333333"/>
    <s v="Spritzer (6000 mL)"/>
  </r>
  <r>
    <x v="0"/>
    <n v="400"/>
    <n v="1.92"/>
    <x v="2"/>
    <s v="https://www.lotuss.com.my/category/beverages/water"/>
    <s v="23/10/2026"/>
    <n v="4.8"/>
    <s v="Spritzer (400 mL)"/>
  </r>
  <r>
    <x v="0"/>
    <n v="1000"/>
    <n v="3.95"/>
    <x v="2"/>
    <s v="https://www.lotuss.com.my/category/beverages/water"/>
    <s v="23/10/2026"/>
    <n v="3.95"/>
    <s v="Spritzer (1000 mL)"/>
  </r>
  <r>
    <x v="0"/>
    <n v="1250"/>
    <n v="2.79"/>
    <x v="2"/>
    <s v="https://www.lotuss.com.my/category/beverages/water"/>
    <s v="23/10/2026"/>
    <n v="2.2320000000000002"/>
    <s v="Spritzer (1250 mL)"/>
  </r>
  <r>
    <x v="0"/>
    <n v="6000"/>
    <n v="10.36"/>
    <x v="2"/>
    <s v="https://www.lotuss.com.my/category/beverages/water"/>
    <s v="23/10/2026"/>
    <n v="1.7266666666666666"/>
    <s v="Spritzer (6000 mL)"/>
  </r>
  <r>
    <x v="1"/>
    <n v="600"/>
    <n v="0.92"/>
    <x v="2"/>
    <s v="https://www.lotuss.com.my/category/beverages/water"/>
    <s v="23/10/2026"/>
    <n v="1.5333333333333334"/>
    <s v="Cactus (600 mL)"/>
  </r>
  <r>
    <x v="1"/>
    <n v="1500"/>
    <n v="1.65"/>
    <x v="2"/>
    <s v="https://www.lotuss.com.my/category/beverages/water"/>
    <s v="23/10/2026"/>
    <n v="1.0999999999999999"/>
    <s v="Cactus (1500 mL)"/>
  </r>
  <r>
    <x v="1"/>
    <n v="5000"/>
    <n v="6.67"/>
    <x v="2"/>
    <s v="https://www.lotuss.com.my/category/beverages/water"/>
    <s v="23/10/2026"/>
    <n v="1.3340000000000001"/>
    <s v="Cactus (5000 mL)"/>
  </r>
  <r>
    <x v="2"/>
    <n v="500"/>
    <n v="0.86"/>
    <x v="2"/>
    <s v="https://www.lotuss.com.my/category/beverages/water"/>
    <s v="23/10/2026"/>
    <n v="1.72"/>
    <s v="F&amp;N Ice Mountain (500 mL)"/>
  </r>
  <r>
    <x v="2"/>
    <n v="1500"/>
    <n v="1.55"/>
    <x v="2"/>
    <s v="https://www.lotuss.com.my/category/beverages/water"/>
    <s v="23/10/2026"/>
    <n v="1.0333333333333334"/>
    <s v="F&amp;N Ice Mountain (1500 mL)"/>
  </r>
  <r>
    <x v="3"/>
    <n v="600"/>
    <n v="0.86"/>
    <x v="2"/>
    <s v="https://www.lotuss.com.my/category/beverages/water"/>
    <s v="23/10/2026"/>
    <n v="1.4333333333333333"/>
    <s v="Bleu (600 mL)"/>
  </r>
  <r>
    <x v="3"/>
    <n v="1500"/>
    <n v="1.9"/>
    <x v="2"/>
    <s v="https://www.lotuss.com.my/category/beverages/water"/>
    <s v="23/10/2026"/>
    <n v="1.2666666666666666"/>
    <s v="Bleu (1500 mL)"/>
  </r>
  <r>
    <x v="4"/>
    <n v="300"/>
    <n v="0.7"/>
    <x v="2"/>
    <s v="https://www.lotuss.com.my/category/beverages/water"/>
    <s v="23/10/2026"/>
    <n v="2.3333333333333335"/>
    <s v="Jaya Grocer Mineral Water (300 mL)"/>
  </r>
  <r>
    <x v="4"/>
    <n v="1500"/>
    <n v="2.09"/>
    <x v="2"/>
    <s v="https://www.lotuss.com.my/category/beverages/water"/>
    <s v="23/10/2026"/>
    <n v="1.3933333333333333"/>
    <s v="Jaya Grocer Mineral Water (1500 mL)"/>
  </r>
  <r>
    <x v="4"/>
    <n v="6000"/>
    <n v="8.1300000000000008"/>
    <x v="2"/>
    <s v="https://www.lotuss.com.my/category/beverages/water"/>
    <s v="23/10/2026"/>
    <n v="1.3550000000000002"/>
    <s v="Jaya Grocer Mineral Water (6000 mL)"/>
  </r>
  <r>
    <x v="5"/>
    <n v="500"/>
    <n v="8.24"/>
    <x v="2"/>
    <s v="https://www.lotuss.com.my/category/beverages/water"/>
    <s v="23/10/2026"/>
    <n v="16.48"/>
    <s v="Fiji (500 mL)"/>
  </r>
  <r>
    <x v="5"/>
    <n v="1000"/>
    <n v="12.76"/>
    <x v="2"/>
    <s v="https://www.lotuss.com.my/category/beverages/water"/>
    <s v="23/10/2026"/>
    <n v="12.76"/>
    <s v="Fiji (1000 mL)"/>
  </r>
  <r>
    <x v="6"/>
    <n v="500"/>
    <n v="5.73"/>
    <x v="2"/>
    <s v="https://www.lotuss.com.my/category/beverages/water"/>
    <s v="23/10/2026"/>
    <n v="11.46"/>
    <s v="Volvic (500 mL)"/>
  </r>
  <r>
    <x v="6"/>
    <n v="1500"/>
    <n v="10.44"/>
    <x v="2"/>
    <s v="https://www.lotuss.com.my/category/beverages/water"/>
    <s v="23/10/2026"/>
    <n v="6.96"/>
    <s v="Volvic (1500 mL)"/>
  </r>
  <r>
    <x v="7"/>
    <n v="330"/>
    <n v="5.56"/>
    <x v="2"/>
    <s v="https://www.lotuss.com.my/category/beverages/water"/>
    <s v="23/10/2026"/>
    <n v="16.848484848484848"/>
    <s v="Evian (330 mL)"/>
  </r>
  <r>
    <x v="7"/>
    <n v="750"/>
    <n v="10.7"/>
    <x v="2"/>
    <s v="https://www.lotuss.com.my/category/beverages/water"/>
    <s v="23/10/2026"/>
    <n v="14.266666666666666"/>
    <s v="Evian (750 mL)"/>
  </r>
  <r>
    <x v="8"/>
    <n v="330"/>
    <n v="8.76"/>
    <x v="2"/>
    <s v="https://www.lotuss.com.my/category/beverages/water"/>
    <s v="23/10/2026"/>
    <n v="26.545454545454543"/>
    <s v="Perrier (330 mL)"/>
  </r>
  <r>
    <x v="8"/>
    <n v="750"/>
    <n v="10.66"/>
    <x v="2"/>
    <s v="https://www.lotuss.com.my/category/beverages/water"/>
    <s v="23/10/2026"/>
    <n v="14.213333333333333"/>
    <s v="Perrier (750 mL)"/>
  </r>
  <r>
    <x v="9"/>
    <n v="750"/>
    <n v="12.34"/>
    <x v="2"/>
    <s v="https://www.lotuss.com.my/category/beverages/water"/>
    <s v="23/10/2026"/>
    <n v="16.453333333333333"/>
    <s v="Acqua Panna (750 mL)"/>
  </r>
  <r>
    <x v="9"/>
    <n v="1000"/>
    <n v="11.35"/>
    <x v="2"/>
    <s v="https://www.lotuss.com.my/category/beverages/water"/>
    <s v="23/10/2026"/>
    <n v="11.35"/>
    <s v="Acqua Panna (1000 mL)"/>
  </r>
  <r>
    <x v="10"/>
    <n v="1000"/>
    <n v="11.96"/>
    <x v="2"/>
    <s v="https://www.lotuss.com.my/category/beverages/water"/>
    <s v="23/10/2026"/>
    <n v="11.96"/>
    <s v="S.Pellegrino (1000 mL)"/>
  </r>
  <r>
    <x v="0"/>
    <n v="550"/>
    <n v="1.52"/>
    <x v="3"/>
    <s v="https://myaeon2go.com/products/category/1403828/water"/>
    <s v="23/10/2026"/>
    <n v="2.7636363636363632"/>
    <s v="Spritzer (550 mL)"/>
  </r>
  <r>
    <x v="0"/>
    <n v="750"/>
    <n v="2.34"/>
    <x v="3"/>
    <s v="https://myaeon2go.com/products/category/1403828/water"/>
    <s v="23/10/2026"/>
    <n v="3.1199999999999997"/>
    <s v="Spritzer (750 mL)"/>
  </r>
  <r>
    <x v="0"/>
    <n v="1250"/>
    <n v="3.08"/>
    <x v="3"/>
    <s v="https://myaeon2go.com/products/category/1403828/water"/>
    <s v="23/10/2026"/>
    <n v="2.464"/>
    <s v="Spritzer (1250 mL)"/>
  </r>
  <r>
    <x v="0"/>
    <n v="1500"/>
    <n v="3.37"/>
    <x v="3"/>
    <s v="https://myaeon2go.com/products/category/1403828/water"/>
    <s v="23/10/2026"/>
    <n v="2.2466666666666666"/>
    <s v="Spritzer (1500 mL)"/>
  </r>
  <r>
    <x v="0"/>
    <n v="6000"/>
    <n v="9.8800000000000008"/>
    <x v="3"/>
    <s v="https://myaeon2go.com/products/category/1403828/water"/>
    <s v="23/10/2026"/>
    <n v="1.6466666666666667"/>
    <s v="Spritzer (6000 mL)"/>
  </r>
  <r>
    <x v="0"/>
    <n v="400"/>
    <n v="1.97"/>
    <x v="3"/>
    <s v="https://myaeon2go.com/products/category/1403828/water"/>
    <s v="23/10/2026"/>
    <n v="4.9249999999999998"/>
    <s v="Spritzer (400 mL)"/>
  </r>
  <r>
    <x v="0"/>
    <n v="1000"/>
    <n v="3.96"/>
    <x v="3"/>
    <s v="https://myaeon2go.com/products/category/1403828/water"/>
    <s v="23/10/2026"/>
    <n v="3.96"/>
    <s v="Spritzer (1000 mL)"/>
  </r>
  <r>
    <x v="0"/>
    <n v="1250"/>
    <n v="2.88"/>
    <x v="3"/>
    <s v="https://myaeon2go.com/products/category/1403828/water"/>
    <s v="23/10/2026"/>
    <n v="2.3039999999999998"/>
    <s v="Spritzer (1250 mL)"/>
  </r>
  <r>
    <x v="0"/>
    <n v="6000"/>
    <n v="10.86"/>
    <x v="3"/>
    <s v="https://myaeon2go.com/products/category/1403828/water"/>
    <s v="23/10/2026"/>
    <n v="1.8099999999999998"/>
    <s v="Spritzer (6000 mL)"/>
  </r>
  <r>
    <x v="1"/>
    <n v="600"/>
    <n v="0.98"/>
    <x v="3"/>
    <s v="https://myaeon2go.com/products/category/1403828/water"/>
    <s v="23/10/2026"/>
    <n v="1.6333333333333333"/>
    <s v="Cactus (600 mL)"/>
  </r>
  <r>
    <x v="1"/>
    <n v="1500"/>
    <n v="1.62"/>
    <x v="3"/>
    <s v="https://myaeon2go.com/products/category/1403828/water"/>
    <s v="23/10/2026"/>
    <n v="1.08"/>
    <s v="Cactus (1500 mL)"/>
  </r>
  <r>
    <x v="1"/>
    <n v="5000"/>
    <n v="7.01"/>
    <x v="3"/>
    <s v="https://myaeon2go.com/products/category/1403828/water"/>
    <s v="23/10/2026"/>
    <n v="1.4019999999999999"/>
    <s v="Cactus (5000 mL)"/>
  </r>
  <r>
    <x v="2"/>
    <n v="500"/>
    <n v="0.81"/>
    <x v="3"/>
    <s v="https://myaeon2go.com/products/category/1403828/water"/>
    <s v="23/10/2026"/>
    <n v="1.62"/>
    <s v="F&amp;N Ice Mountain (500 mL)"/>
  </r>
  <r>
    <x v="2"/>
    <n v="1500"/>
    <n v="1.52"/>
    <x v="3"/>
    <s v="https://myaeon2go.com/products/category/1403828/water"/>
    <s v="23/10/2026"/>
    <n v="1.0133333333333334"/>
    <s v="F&amp;N Ice Mountain (1500 mL)"/>
  </r>
  <r>
    <x v="3"/>
    <n v="600"/>
    <n v="0.83"/>
    <x v="3"/>
    <s v="https://myaeon2go.com/products/category/1403828/water"/>
    <s v="23/10/2026"/>
    <n v="1.3833333333333333"/>
    <s v="Bleu (600 mL)"/>
  </r>
  <r>
    <x v="3"/>
    <n v="1500"/>
    <n v="1.92"/>
    <x v="3"/>
    <s v="https://myaeon2go.com/products/category/1403828/water"/>
    <s v="23/10/2026"/>
    <n v="1.28"/>
    <s v="Bleu (1500 mL)"/>
  </r>
  <r>
    <x v="4"/>
    <n v="300"/>
    <n v="0.77"/>
    <x v="3"/>
    <s v="https://myaeon2go.com/products/category/1403828/water"/>
    <s v="24/10/2026"/>
    <n v="2.5666666666666669"/>
    <s v="Jaya Grocer Mineral Water (300 mL)"/>
  </r>
  <r>
    <x v="4"/>
    <n v="1500"/>
    <n v="2.06"/>
    <x v="3"/>
    <s v="https://myaeon2go.com/products/category/1403828/water"/>
    <s v="24/10/2026"/>
    <n v="1.3733333333333333"/>
    <s v="Jaya Grocer Mineral Water (1500 mL)"/>
  </r>
  <r>
    <x v="4"/>
    <n v="6000"/>
    <n v="8.17"/>
    <x v="3"/>
    <s v="https://myaeon2go.com/products/category/1403828/water"/>
    <s v="24/10/2026"/>
    <n v="1.3616666666666666"/>
    <s v="Jaya Grocer Mineral Water (6000 mL)"/>
  </r>
  <r>
    <x v="5"/>
    <n v="500"/>
    <n v="8.49"/>
    <x v="3"/>
    <s v="https://myaeon2go.com/products/category/1403828/water"/>
    <s v="24/10/2026"/>
    <n v="16.98"/>
    <s v="Fiji (500 mL)"/>
  </r>
  <r>
    <x v="5"/>
    <n v="1000"/>
    <n v="13.18"/>
    <x v="3"/>
    <s v="https://myaeon2go.com/products/category/1403828/water"/>
    <s v="24/10/2026"/>
    <n v="13.18"/>
    <s v="Fiji (1000 mL)"/>
  </r>
  <r>
    <x v="6"/>
    <n v="500"/>
    <n v="5.51"/>
    <x v="3"/>
    <s v="https://myaeon2go.com/products/category/1403828/water"/>
    <s v="24/10/2026"/>
    <n v="11.02"/>
    <s v="Volvic (500 mL)"/>
  </r>
  <r>
    <x v="6"/>
    <n v="1500"/>
    <n v="10.66"/>
    <x v="3"/>
    <s v="https://myaeon2go.com/products/category/1403828/water"/>
    <s v="24/10/2026"/>
    <n v="7.1066666666666665"/>
    <s v="Volvic (1500 mL)"/>
  </r>
  <r>
    <x v="7"/>
    <n v="330"/>
    <n v="5.4"/>
    <x v="3"/>
    <s v="https://myaeon2go.com/products/category/1403828/water"/>
    <s v="24/10/2026"/>
    <n v="16.363636363636363"/>
    <s v="Evian (330 mL)"/>
  </r>
  <r>
    <x v="7"/>
    <n v="750"/>
    <n v="11.09"/>
    <x v="3"/>
    <s v="https://myaeon2go.com/products/category/1403828/water"/>
    <s v="24/10/2026"/>
    <n v="14.786666666666667"/>
    <s v="Evian (750 mL)"/>
  </r>
  <r>
    <x v="8"/>
    <n v="330"/>
    <n v="8.39"/>
    <x v="3"/>
    <s v="https://myaeon2go.com/products/category/1403828/water"/>
    <s v="24/10/2026"/>
    <n v="25.424242424242426"/>
    <s v="Perrier (330 mL)"/>
  </r>
  <r>
    <x v="8"/>
    <n v="750"/>
    <n v="11.32"/>
    <x v="3"/>
    <s v="https://myaeon2go.com/products/category/1403828/water"/>
    <s v="24/10/2026"/>
    <n v="15.093333333333334"/>
    <s v="Perrier (750 mL)"/>
  </r>
  <r>
    <x v="9"/>
    <n v="750"/>
    <n v="11.55"/>
    <x v="3"/>
    <s v="https://myaeon2go.com/products/category/1403828/water"/>
    <s v="24/10/2026"/>
    <n v="15.4"/>
    <s v="Acqua Panna (750 mL)"/>
  </r>
  <r>
    <x v="9"/>
    <n v="1000"/>
    <n v="12.08"/>
    <x v="3"/>
    <s v="https://myaeon2go.com/products/category/1403828/water"/>
    <s v="24/10/2026"/>
    <n v="12.08"/>
    <s v="Acqua Panna (1000 mL)"/>
  </r>
  <r>
    <x v="10"/>
    <n v="1000"/>
    <n v="11.88"/>
    <x v="3"/>
    <s v="https://myaeon2go.com/products/category/1403828/water"/>
    <s v="24/10/2026"/>
    <n v="11.88"/>
    <s v="S.Pellegrino (1000 mL)"/>
  </r>
  <r>
    <x v="0"/>
    <n v="550"/>
    <n v="1.5"/>
    <x v="4"/>
    <s v="http://www.nsktrade.com/nsk5/index.php/component/search/?searchword=water&amp;searchphrase=all&amp;Itemid=101"/>
    <s v="24/10/2026"/>
    <n v="2.7272727272727271"/>
    <s v="Spritzer (550 mL)"/>
  </r>
  <r>
    <x v="0"/>
    <n v="750"/>
    <n v="2.2400000000000002"/>
    <x v="4"/>
    <s v="http://www.nsktrade.com/nsk5/index.php/component/search/?searchword=water&amp;searchphrase=all&amp;Itemid=101"/>
    <s v="24/10/2026"/>
    <n v="2.9866666666666668"/>
    <s v="Spritzer (750 mL)"/>
  </r>
  <r>
    <x v="0"/>
    <n v="1250"/>
    <n v="2.82"/>
    <x v="4"/>
    <s v="http://www.nsktrade.com/nsk5/index.php/component/search/?searchword=water&amp;searchphrase=all&amp;Itemid=101"/>
    <s v="24/10/2026"/>
    <n v="2.2559999999999998"/>
    <s v="Spritzer (1250 mL)"/>
  </r>
  <r>
    <x v="0"/>
    <n v="1500"/>
    <n v="2.99"/>
    <x v="4"/>
    <s v="http://www.nsktrade.com/nsk5/index.php/component/search/?searchword=water&amp;searchphrase=all&amp;Itemid=101"/>
    <s v="24/10/2026"/>
    <n v="1.9933333333333334"/>
    <s v="Spritzer (1500 mL)"/>
  </r>
  <r>
    <x v="0"/>
    <n v="6000"/>
    <n v="8.9499999999999993"/>
    <x v="4"/>
    <s v="http://www.nsktrade.com/nsk5/index.php/component/search/?searchword=water&amp;searchphrase=all&amp;Itemid=101"/>
    <s v="24/10/2026"/>
    <n v="1.4916666666666665"/>
    <s v="Spritzer (6000 mL)"/>
  </r>
  <r>
    <x v="0"/>
    <n v="400"/>
    <n v="1.93"/>
    <x v="4"/>
    <s v="http://www.nsktrade.com/nsk5/index.php/component/search/?searchword=water&amp;searchphrase=all&amp;Itemid=101"/>
    <s v="24/10/2026"/>
    <n v="4.8249999999999993"/>
    <s v="Spritzer (400 mL)"/>
  </r>
  <r>
    <x v="0"/>
    <n v="1000"/>
    <n v="3.88"/>
    <x v="4"/>
    <s v="http://www.nsktrade.com/nsk5/index.php/component/search/?searchword=water&amp;searchphrase=all&amp;Itemid=101"/>
    <s v="24/10/2026"/>
    <n v="3.88"/>
    <s v="Spritzer (1000 mL)"/>
  </r>
  <r>
    <x v="0"/>
    <n v="1250"/>
    <n v="2.6"/>
    <x v="4"/>
    <s v="http://www.nsktrade.com/nsk5/index.php/component/search/?searchword=water&amp;searchphrase=all&amp;Itemid=101"/>
    <s v="24/10/2026"/>
    <n v="2.08"/>
    <s v="Spritzer (1250 mL)"/>
  </r>
  <r>
    <x v="0"/>
    <n v="6000"/>
    <n v="9.91"/>
    <x v="4"/>
    <s v="http://www.nsktrade.com/nsk5/index.php/component/search/?searchword=water&amp;searchphrase=all&amp;Itemid=101"/>
    <s v="24/10/2026"/>
    <n v="1.6516666666666666"/>
    <s v="Spritzer (6000 mL)"/>
  </r>
  <r>
    <x v="1"/>
    <n v="600"/>
    <n v="0.84"/>
    <x v="4"/>
    <s v="http://www.nsktrade.com/nsk5/index.php/component/search/?searchword=water&amp;searchphrase=all&amp;Itemid=101"/>
    <s v="24/10/2026"/>
    <n v="1.4"/>
    <s v="Cactus (600 mL)"/>
  </r>
  <r>
    <x v="1"/>
    <n v="1500"/>
    <n v="1.51"/>
    <x v="4"/>
    <s v="http://www.nsktrade.com/nsk5/index.php/component/search/?searchword=water&amp;searchphrase=all&amp;Itemid=101"/>
    <s v="24/10/2026"/>
    <n v="1.0066666666666666"/>
    <s v="Cactus (1500 mL)"/>
  </r>
  <r>
    <x v="1"/>
    <n v="5000"/>
    <n v="6.04"/>
    <x v="4"/>
    <s v="http://www.nsktrade.com/nsk5/index.php/component/search/?searchword=water&amp;searchphrase=all&amp;Itemid=101"/>
    <s v="24/10/2026"/>
    <n v="1.208"/>
    <s v="Cactus (5000 mL)"/>
  </r>
  <r>
    <x v="2"/>
    <n v="500"/>
    <n v="0.76"/>
    <x v="4"/>
    <s v="http://www.nsktrade.com/nsk5/index.php/component/search/?searchword=water&amp;searchphrase=all&amp;Itemid=101"/>
    <s v="24/10/2026"/>
    <n v="1.52"/>
    <s v="F&amp;N Ice Mountain (500 mL)"/>
  </r>
  <r>
    <x v="2"/>
    <n v="1500"/>
    <n v="1.41"/>
    <x v="4"/>
    <s v="http://www.nsktrade.com/nsk5/index.php/component/search/?searchword=water&amp;searchphrase=all&amp;Itemid=101"/>
    <s v="24/10/2026"/>
    <n v="0.94"/>
    <s v="F&amp;N Ice Mountain (1500 mL)"/>
  </r>
  <r>
    <x v="3"/>
    <n v="600"/>
    <n v="0.77"/>
    <x v="4"/>
    <s v="http://www.nsktrade.com/nsk5/index.php/component/search/?searchword=water&amp;searchphrase=all&amp;Itemid=101"/>
    <s v="24/10/2026"/>
    <n v="1.2833333333333334"/>
    <s v="Bleu (600 mL)"/>
  </r>
  <r>
    <x v="3"/>
    <n v="1500"/>
    <n v="1.69"/>
    <x v="4"/>
    <s v="http://www.nsktrade.com/nsk5/index.php/component/search/?searchword=water&amp;searchphrase=all&amp;Itemid=101"/>
    <s v="24/10/2026"/>
    <n v="1.1266666666666667"/>
    <s v="Bleu (1500 mL)"/>
  </r>
  <r>
    <x v="4"/>
    <n v="300"/>
    <n v="0.66"/>
    <x v="4"/>
    <s v="http://www.nsktrade.com/nsk5/index.php/component/search/?searchword=water&amp;searchphrase=all&amp;Itemid=101"/>
    <s v="24/10/2026"/>
    <n v="2.2000000000000002"/>
    <s v="Jaya Grocer Mineral Water (300 mL)"/>
  </r>
  <r>
    <x v="4"/>
    <n v="1500"/>
    <n v="1.91"/>
    <x v="4"/>
    <s v="http://www.nsktrade.com/nsk5/index.php/component/search/?searchword=water&amp;searchphrase=all&amp;Itemid=101"/>
    <s v="24/10/2026"/>
    <n v="1.2733333333333332"/>
    <s v="Jaya Grocer Mineral Water (1500 mL)"/>
  </r>
  <r>
    <x v="4"/>
    <n v="6000"/>
    <n v="7.4"/>
    <x v="4"/>
    <s v="http://www.nsktrade.com/nsk5/index.php/component/search/?searchword=water&amp;searchphrase=all&amp;Itemid=101"/>
    <s v="24/10/2026"/>
    <n v="1.2333333333333334"/>
    <s v="Jaya Grocer Mineral Water (6000 mL)"/>
  </r>
  <r>
    <x v="5"/>
    <n v="500"/>
    <n v="7.65"/>
    <x v="4"/>
    <s v="http://www.nsktrade.com/nsk5/index.php/component/search/?searchword=water&amp;searchphrase=all&amp;Itemid=101"/>
    <s v="24/10/2026"/>
    <n v="15.3"/>
    <s v="Fiji (500 mL)"/>
  </r>
  <r>
    <x v="5"/>
    <n v="1000"/>
    <n v="11.76"/>
    <x v="4"/>
    <s v="http://www.nsktrade.com/nsk5/index.php/component/search/?searchword=water&amp;searchphrase=all&amp;Itemid=101"/>
    <s v="24/10/2026"/>
    <n v="11.76"/>
    <s v="Fiji (1000 mL)"/>
  </r>
  <r>
    <x v="6"/>
    <n v="500"/>
    <n v="4.8"/>
    <x v="4"/>
    <s v="http://www.nsktrade.com/nsk5/index.php/component/search/?searchword=water&amp;searchphrase=all&amp;Itemid=101"/>
    <s v="24/10/2026"/>
    <n v="9.6"/>
    <s v="Volvic (500 mL)"/>
  </r>
  <r>
    <x v="6"/>
    <n v="1500"/>
    <n v="10.050000000000001"/>
    <x v="4"/>
    <s v="http://www.nsktrade.com/nsk5/index.php/component/search/?searchword=water&amp;searchphrase=all&amp;Itemid=101"/>
    <s v="24/10/2026"/>
    <n v="6.7"/>
    <s v="Volvic (1500 mL)"/>
  </r>
  <r>
    <x v="7"/>
    <n v="330"/>
    <n v="5.17"/>
    <x v="4"/>
    <s v="http://www.nsktrade.com/nsk5/index.php/component/search/?searchword=water&amp;searchphrase=all&amp;Itemid=101"/>
    <s v="24/10/2026"/>
    <n v="15.666666666666666"/>
    <s v="Evian (330 mL)"/>
  </r>
  <r>
    <x v="7"/>
    <n v="750"/>
    <n v="10.14"/>
    <x v="4"/>
    <s v="http://www.nsktrade.com/nsk5/index.php/component/search/?searchword=water&amp;searchphrase=all&amp;Itemid=101"/>
    <s v="24/10/2026"/>
    <n v="13.520000000000001"/>
    <s v="Evian (750 mL)"/>
  </r>
  <r>
    <x v="8"/>
    <n v="330"/>
    <n v="8.1300000000000008"/>
    <x v="4"/>
    <s v="http://www.nsktrade.com/nsk5/index.php/component/search/?searchword=water&amp;searchphrase=all&amp;Itemid=101"/>
    <s v="24/10/2026"/>
    <n v="24.636363636363637"/>
    <s v="Perrier (330 mL)"/>
  </r>
  <r>
    <x v="8"/>
    <n v="750"/>
    <n v="10.65"/>
    <x v="4"/>
    <s v="http://www.nsktrade.com/nsk5/index.php/component/search/?searchword=water&amp;searchphrase=all&amp;Itemid=101"/>
    <s v="24/10/2026"/>
    <n v="14.200000000000001"/>
    <s v="Perrier (750 mL)"/>
  </r>
  <r>
    <x v="9"/>
    <n v="750"/>
    <n v="10.48"/>
    <x v="4"/>
    <s v="http://www.nsktrade.com/nsk5/index.php/component/search/?searchword=water&amp;searchphrase=all&amp;Itemid=101"/>
    <s v="24/10/2026"/>
    <n v="13.973333333333334"/>
    <s v="Acqua Panna (750 mL)"/>
  </r>
  <r>
    <x v="9"/>
    <n v="1000"/>
    <n v="10.41"/>
    <x v="4"/>
    <s v="http://www.nsktrade.com/nsk5/index.php/component/search/?searchword=water&amp;searchphrase=all&amp;Itemid=101"/>
    <s v="24/10/2026"/>
    <n v="10.41"/>
    <s v="Acqua Panna (1000 mL)"/>
  </r>
  <r>
    <x v="10"/>
    <n v="1000"/>
    <n v="11.12"/>
    <x v="4"/>
    <s v="http://www.nsktrade.com/nsk5/index.php/component/search/?searchword=water&amp;searchphrase=all&amp;Itemid=101"/>
    <s v="24/10/2026"/>
    <n v="11.12"/>
    <s v="S.Pellegrino (1000 mL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2EA63-B534-4D6F-BDAE-B06DA302EA6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:C14" firstHeaderRow="1" firstDataRow="1" firstDataCol="1"/>
  <pivotFields count="8">
    <pivotField axis="axisRow" dataField="1" showAll="0">
      <items count="12">
        <item x="9"/>
        <item x="3"/>
        <item x="1"/>
        <item x="7"/>
        <item x="2"/>
        <item x="5"/>
        <item x="4"/>
        <item x="8"/>
        <item x="10"/>
        <item x="0"/>
        <item x="6"/>
        <item t="default"/>
      </items>
    </pivotField>
    <pivotField showAll="0"/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Bran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ayagrocer.com/collections/water?page=1" TargetMode="External"/><Relationship Id="rId13" Type="http://schemas.openxmlformats.org/officeDocument/2006/relationships/hyperlink" Target="https://www.lotuss.com.my/category/beverages/water" TargetMode="External"/><Relationship Id="rId3" Type="http://schemas.openxmlformats.org/officeDocument/2006/relationships/hyperlink" Target="https://jayagrocer.com/collections/water?page=1" TargetMode="External"/><Relationship Id="rId7" Type="http://schemas.openxmlformats.org/officeDocument/2006/relationships/hyperlink" Target="https://jayagrocer.com/collections/water?page=1" TargetMode="External"/><Relationship Id="rId12" Type="http://schemas.openxmlformats.org/officeDocument/2006/relationships/hyperlink" Target="https://jayagrocer.com/collections/water?page=1" TargetMode="External"/><Relationship Id="rId2" Type="http://schemas.openxmlformats.org/officeDocument/2006/relationships/hyperlink" Target="https://jayagrocer.com/collections/water?page=1" TargetMode="External"/><Relationship Id="rId16" Type="http://schemas.openxmlformats.org/officeDocument/2006/relationships/hyperlink" Target="https://myaeon2go.com/products/category/1403828/water" TargetMode="External"/><Relationship Id="rId1" Type="http://schemas.openxmlformats.org/officeDocument/2006/relationships/hyperlink" Target="https://jayagrocer.com/collections/water?page=1" TargetMode="External"/><Relationship Id="rId6" Type="http://schemas.openxmlformats.org/officeDocument/2006/relationships/hyperlink" Target="https://jayagrocer.com/collections/water?page=1" TargetMode="External"/><Relationship Id="rId11" Type="http://schemas.openxmlformats.org/officeDocument/2006/relationships/hyperlink" Target="https://www.servayonline.com/beverages?direction=asc&amp;page=28&amp;sort=Products.oos" TargetMode="External"/><Relationship Id="rId5" Type="http://schemas.openxmlformats.org/officeDocument/2006/relationships/hyperlink" Target="https://jayagrocer.com/collections/water?page=1" TargetMode="External"/><Relationship Id="rId15" Type="http://schemas.openxmlformats.org/officeDocument/2006/relationships/hyperlink" Target="https://myaeon2go.com/products/category/1403828/water" TargetMode="External"/><Relationship Id="rId10" Type="http://schemas.openxmlformats.org/officeDocument/2006/relationships/hyperlink" Target="https://jayagrocer.com/collections/water?page=1" TargetMode="External"/><Relationship Id="rId4" Type="http://schemas.openxmlformats.org/officeDocument/2006/relationships/hyperlink" Target="https://jayagrocer.com/collections/water?page=1" TargetMode="External"/><Relationship Id="rId9" Type="http://schemas.openxmlformats.org/officeDocument/2006/relationships/hyperlink" Target="https://jayagrocer.com/collections/water?page=1" TargetMode="External"/><Relationship Id="rId14" Type="http://schemas.openxmlformats.org/officeDocument/2006/relationships/hyperlink" Target="https://www.lotuss.com.my/category/beverages/wat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2A136-EB1F-4892-A5DE-53215E4BC085}">
  <dimension ref="A1:H151"/>
  <sheetViews>
    <sheetView zoomScale="110" zoomScaleNormal="110" workbookViewId="0">
      <selection activeCell="E10" sqref="E10"/>
    </sheetView>
  </sheetViews>
  <sheetFormatPr defaultRowHeight="14.4" x14ac:dyDescent="0.3"/>
  <cols>
    <col min="1" max="1" width="27.6640625" bestFit="1" customWidth="1"/>
    <col min="2" max="2" width="13.109375" style="5" bestFit="1" customWidth="1"/>
    <col min="3" max="3" width="9.21875" style="1" bestFit="1" customWidth="1"/>
    <col min="4" max="4" width="12.44140625" bestFit="1" customWidth="1"/>
    <col min="5" max="5" width="72.109375" bestFit="1" customWidth="1"/>
    <col min="6" max="6" width="12" style="1" bestFit="1" customWidth="1"/>
    <col min="7" max="7" width="17.44140625" style="1" bestFit="1" customWidth="1"/>
    <col min="8" max="8" width="35.109375" style="4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4</v>
      </c>
      <c r="G1" s="3" t="s">
        <v>16</v>
      </c>
      <c r="H1" s="3" t="s">
        <v>17</v>
      </c>
    </row>
    <row r="2" spans="1:8" x14ac:dyDescent="0.3">
      <c r="A2" s="6" t="s">
        <v>18</v>
      </c>
      <c r="B2" s="8">
        <v>550</v>
      </c>
      <c r="C2" s="7">
        <v>1.54</v>
      </c>
      <c r="D2" s="6" t="s">
        <v>8</v>
      </c>
      <c r="E2" s="2" t="s">
        <v>9</v>
      </c>
      <c r="F2" s="1" t="s">
        <v>15</v>
      </c>
      <c r="G2" s="1">
        <f t="shared" ref="G2:G33" si="0">C2/(B2/1000)</f>
        <v>2.8</v>
      </c>
      <c r="H2" s="9" t="s">
        <v>29</v>
      </c>
    </row>
    <row r="3" spans="1:8" x14ac:dyDescent="0.3">
      <c r="A3" s="6" t="s">
        <v>18</v>
      </c>
      <c r="B3" s="8">
        <v>750</v>
      </c>
      <c r="C3" s="7">
        <v>2.36</v>
      </c>
      <c r="D3" s="6" t="s">
        <v>8</v>
      </c>
      <c r="E3" s="2" t="s">
        <v>9</v>
      </c>
      <c r="F3" s="1" t="s">
        <v>15</v>
      </c>
      <c r="G3" s="1">
        <f t="shared" si="0"/>
        <v>3.1466666666666665</v>
      </c>
      <c r="H3" s="9" t="s">
        <v>30</v>
      </c>
    </row>
    <row r="4" spans="1:8" x14ac:dyDescent="0.3">
      <c r="A4" s="6" t="s">
        <v>18</v>
      </c>
      <c r="B4" s="8">
        <v>1250</v>
      </c>
      <c r="C4" s="7">
        <v>2.72</v>
      </c>
      <c r="D4" s="6" t="s">
        <v>8</v>
      </c>
      <c r="E4" s="2" t="s">
        <v>9</v>
      </c>
      <c r="F4" s="1" t="s">
        <v>15</v>
      </c>
      <c r="G4" s="1">
        <f t="shared" si="0"/>
        <v>2.1760000000000002</v>
      </c>
      <c r="H4" s="9" t="s">
        <v>31</v>
      </c>
    </row>
    <row r="5" spans="1:8" x14ac:dyDescent="0.3">
      <c r="A5" s="6" t="s">
        <v>18</v>
      </c>
      <c r="B5" s="8">
        <v>1500</v>
      </c>
      <c r="C5" s="7">
        <v>3.01</v>
      </c>
      <c r="D5" s="6" t="s">
        <v>8</v>
      </c>
      <c r="E5" s="2" t="s">
        <v>9</v>
      </c>
      <c r="F5" s="1" t="s">
        <v>15</v>
      </c>
      <c r="G5" s="1">
        <f t="shared" si="0"/>
        <v>2.0066666666666664</v>
      </c>
      <c r="H5" s="9" t="s">
        <v>32</v>
      </c>
    </row>
    <row r="6" spans="1:8" x14ac:dyDescent="0.3">
      <c r="A6" s="6" t="s">
        <v>18</v>
      </c>
      <c r="B6" s="8">
        <v>6000</v>
      </c>
      <c r="C6" s="7">
        <v>9.9499999999999993</v>
      </c>
      <c r="D6" s="6" t="s">
        <v>8</v>
      </c>
      <c r="E6" s="2" t="s">
        <v>9</v>
      </c>
      <c r="F6" s="1" t="s">
        <v>15</v>
      </c>
      <c r="G6" s="1">
        <f t="shared" si="0"/>
        <v>1.6583333333333332</v>
      </c>
      <c r="H6" s="9" t="s">
        <v>33</v>
      </c>
    </row>
    <row r="7" spans="1:8" x14ac:dyDescent="0.3">
      <c r="A7" s="6" t="s">
        <v>18</v>
      </c>
      <c r="B7" s="8">
        <v>400</v>
      </c>
      <c r="C7" s="7">
        <v>1.99</v>
      </c>
      <c r="D7" s="6" t="s">
        <v>8</v>
      </c>
      <c r="E7" s="2" t="s">
        <v>9</v>
      </c>
      <c r="F7" s="1" t="s">
        <v>15</v>
      </c>
      <c r="G7" s="1">
        <f t="shared" si="0"/>
        <v>4.9749999999999996</v>
      </c>
      <c r="H7" s="9" t="s">
        <v>34</v>
      </c>
    </row>
    <row r="8" spans="1:8" x14ac:dyDescent="0.3">
      <c r="A8" s="6" t="s">
        <v>18</v>
      </c>
      <c r="B8" s="8">
        <v>1000</v>
      </c>
      <c r="C8" s="7">
        <v>3.82</v>
      </c>
      <c r="D8" s="6" t="s">
        <v>8</v>
      </c>
      <c r="E8" s="2" t="s">
        <v>9</v>
      </c>
      <c r="F8" s="1" t="s">
        <v>15</v>
      </c>
      <c r="G8" s="1">
        <f t="shared" si="0"/>
        <v>3.82</v>
      </c>
      <c r="H8" s="9" t="s">
        <v>35</v>
      </c>
    </row>
    <row r="9" spans="1:8" x14ac:dyDescent="0.3">
      <c r="A9" s="6" t="s">
        <v>18</v>
      </c>
      <c r="B9" s="8">
        <v>1250</v>
      </c>
      <c r="C9" s="7">
        <v>2.5499999999999998</v>
      </c>
      <c r="D9" s="6" t="s">
        <v>8</v>
      </c>
      <c r="E9" s="2" t="s">
        <v>9</v>
      </c>
      <c r="F9" s="1" t="s">
        <v>15</v>
      </c>
      <c r="G9" s="1">
        <f t="shared" si="0"/>
        <v>2.04</v>
      </c>
      <c r="H9" s="9" t="s">
        <v>31</v>
      </c>
    </row>
    <row r="10" spans="1:8" x14ac:dyDescent="0.3">
      <c r="A10" s="6" t="s">
        <v>18</v>
      </c>
      <c r="B10" s="8">
        <v>6000</v>
      </c>
      <c r="C10" s="7">
        <v>10.210000000000001</v>
      </c>
      <c r="D10" s="6" t="s">
        <v>8</v>
      </c>
      <c r="E10" s="2" t="s">
        <v>9</v>
      </c>
      <c r="F10" s="1" t="s">
        <v>15</v>
      </c>
      <c r="G10" s="1">
        <f t="shared" si="0"/>
        <v>1.7016666666666669</v>
      </c>
      <c r="H10" s="9" t="s">
        <v>33</v>
      </c>
    </row>
    <row r="11" spans="1:8" x14ac:dyDescent="0.3">
      <c r="A11" s="6" t="s">
        <v>10</v>
      </c>
      <c r="B11" s="8">
        <v>600</v>
      </c>
      <c r="C11" s="7">
        <v>0.91</v>
      </c>
      <c r="D11" s="6" t="s">
        <v>8</v>
      </c>
      <c r="E11" s="2" t="s">
        <v>9</v>
      </c>
      <c r="F11" s="1" t="s">
        <v>15</v>
      </c>
      <c r="G11" s="1">
        <f t="shared" si="0"/>
        <v>1.5166666666666668</v>
      </c>
      <c r="H11" s="9" t="s">
        <v>36</v>
      </c>
    </row>
    <row r="12" spans="1:8" x14ac:dyDescent="0.3">
      <c r="A12" s="6" t="s">
        <v>10</v>
      </c>
      <c r="B12" s="8">
        <v>1500</v>
      </c>
      <c r="C12" s="7">
        <v>1.5</v>
      </c>
      <c r="D12" s="6" t="s">
        <v>8</v>
      </c>
      <c r="E12" s="2" t="s">
        <v>12</v>
      </c>
      <c r="F12" s="1" t="s">
        <v>14</v>
      </c>
      <c r="G12" s="1">
        <f t="shared" si="0"/>
        <v>1</v>
      </c>
      <c r="H12" s="9" t="s">
        <v>37</v>
      </c>
    </row>
    <row r="13" spans="1:8" x14ac:dyDescent="0.3">
      <c r="A13" s="6" t="s">
        <v>10</v>
      </c>
      <c r="B13" s="8">
        <v>5000</v>
      </c>
      <c r="C13" s="7">
        <v>6.47</v>
      </c>
      <c r="D13" s="6" t="s">
        <v>8</v>
      </c>
      <c r="E13" s="2" t="s">
        <v>12</v>
      </c>
      <c r="F13" s="1" t="s">
        <v>14</v>
      </c>
      <c r="G13" s="1">
        <f t="shared" si="0"/>
        <v>1.294</v>
      </c>
      <c r="H13" s="9" t="s">
        <v>38</v>
      </c>
    </row>
    <row r="14" spans="1:8" x14ac:dyDescent="0.3">
      <c r="A14" s="6" t="s">
        <v>7</v>
      </c>
      <c r="B14" s="8">
        <v>500</v>
      </c>
      <c r="C14" s="7">
        <v>0.77</v>
      </c>
      <c r="D14" s="6" t="s">
        <v>8</v>
      </c>
      <c r="E14" s="2" t="s">
        <v>12</v>
      </c>
      <c r="F14" s="1" t="s">
        <v>14</v>
      </c>
      <c r="G14" s="1">
        <f t="shared" si="0"/>
        <v>1.54</v>
      </c>
      <c r="H14" s="9" t="s">
        <v>39</v>
      </c>
    </row>
    <row r="15" spans="1:8" x14ac:dyDescent="0.3">
      <c r="A15" s="6" t="s">
        <v>7</v>
      </c>
      <c r="B15" s="8">
        <v>1500</v>
      </c>
      <c r="C15" s="7">
        <v>1.51</v>
      </c>
      <c r="D15" s="6" t="s">
        <v>8</v>
      </c>
      <c r="E15" s="2" t="s">
        <v>12</v>
      </c>
      <c r="F15" s="1" t="s">
        <v>14</v>
      </c>
      <c r="G15" s="1">
        <f t="shared" si="0"/>
        <v>1.0066666666666666</v>
      </c>
      <c r="H15" s="9" t="s">
        <v>40</v>
      </c>
    </row>
    <row r="16" spans="1:8" x14ac:dyDescent="0.3">
      <c r="A16" s="6" t="s">
        <v>19</v>
      </c>
      <c r="B16" s="8">
        <v>600</v>
      </c>
      <c r="C16" s="7">
        <v>0.79</v>
      </c>
      <c r="D16" s="6" t="s">
        <v>8</v>
      </c>
      <c r="E16" s="2" t="s">
        <v>12</v>
      </c>
      <c r="F16" s="1" t="s">
        <v>14</v>
      </c>
      <c r="G16" s="1">
        <f t="shared" si="0"/>
        <v>1.3166666666666669</v>
      </c>
      <c r="H16" s="9" t="s">
        <v>41</v>
      </c>
    </row>
    <row r="17" spans="1:8" x14ac:dyDescent="0.3">
      <c r="A17" s="6" t="s">
        <v>19</v>
      </c>
      <c r="B17" s="8">
        <v>1500</v>
      </c>
      <c r="C17" s="7">
        <v>1.8</v>
      </c>
      <c r="D17" s="6" t="s">
        <v>8</v>
      </c>
      <c r="E17" s="2" t="s">
        <v>12</v>
      </c>
      <c r="F17" s="1" t="s">
        <v>14</v>
      </c>
      <c r="G17" s="1">
        <f t="shared" si="0"/>
        <v>1.2</v>
      </c>
      <c r="H17" s="9" t="s">
        <v>42</v>
      </c>
    </row>
    <row r="18" spans="1:8" x14ac:dyDescent="0.3">
      <c r="A18" s="6" t="s">
        <v>11</v>
      </c>
      <c r="B18" s="8">
        <v>300</v>
      </c>
      <c r="C18" s="7">
        <v>0.71</v>
      </c>
      <c r="D18" s="6" t="s">
        <v>8</v>
      </c>
      <c r="E18" s="2" t="s">
        <v>12</v>
      </c>
      <c r="F18" s="1" t="s">
        <v>14</v>
      </c>
      <c r="G18" s="1">
        <f t="shared" si="0"/>
        <v>2.3666666666666667</v>
      </c>
      <c r="H18" s="9" t="s">
        <v>43</v>
      </c>
    </row>
    <row r="19" spans="1:8" x14ac:dyDescent="0.3">
      <c r="A19" s="6" t="s">
        <v>11</v>
      </c>
      <c r="B19" s="8">
        <v>1500</v>
      </c>
      <c r="C19" s="7">
        <v>2.0099999999999998</v>
      </c>
      <c r="D19" s="6" t="s">
        <v>8</v>
      </c>
      <c r="E19" s="2" t="s">
        <v>12</v>
      </c>
      <c r="F19" s="1" t="s">
        <v>14</v>
      </c>
      <c r="G19" s="1">
        <f t="shared" si="0"/>
        <v>1.3399999999999999</v>
      </c>
      <c r="H19" s="9" t="s">
        <v>44</v>
      </c>
    </row>
    <row r="20" spans="1:8" x14ac:dyDescent="0.3">
      <c r="A20" s="6" t="s">
        <v>11</v>
      </c>
      <c r="B20" s="8">
        <v>6000</v>
      </c>
      <c r="C20" s="7">
        <v>8.08</v>
      </c>
      <c r="D20" s="6" t="s">
        <v>8</v>
      </c>
      <c r="E20" s="2" t="s">
        <v>12</v>
      </c>
      <c r="F20" s="1" t="s">
        <v>14</v>
      </c>
      <c r="G20" s="1">
        <f t="shared" si="0"/>
        <v>1.3466666666666667</v>
      </c>
      <c r="H20" s="9" t="s">
        <v>45</v>
      </c>
    </row>
    <row r="21" spans="1:8" x14ac:dyDescent="0.3">
      <c r="A21" s="6" t="s">
        <v>20</v>
      </c>
      <c r="B21" s="8">
        <v>500</v>
      </c>
      <c r="C21" s="7">
        <v>8.17</v>
      </c>
      <c r="D21" s="6" t="s">
        <v>8</v>
      </c>
      <c r="E21" s="2" t="s">
        <v>12</v>
      </c>
      <c r="F21" s="1" t="s">
        <v>14</v>
      </c>
      <c r="G21" s="1">
        <f t="shared" si="0"/>
        <v>16.34</v>
      </c>
      <c r="H21" s="9" t="s">
        <v>46</v>
      </c>
    </row>
    <row r="22" spans="1:8" x14ac:dyDescent="0.3">
      <c r="A22" s="6" t="s">
        <v>20</v>
      </c>
      <c r="B22" s="8">
        <v>1000</v>
      </c>
      <c r="C22" s="7">
        <v>11.45</v>
      </c>
      <c r="D22" s="6" t="s">
        <v>8</v>
      </c>
      <c r="E22" s="2" t="s">
        <v>12</v>
      </c>
      <c r="F22" s="1" t="s">
        <v>14</v>
      </c>
      <c r="G22" s="1">
        <f t="shared" si="0"/>
        <v>11.45</v>
      </c>
      <c r="H22" s="9" t="s">
        <v>47</v>
      </c>
    </row>
    <row r="23" spans="1:8" x14ac:dyDescent="0.3">
      <c r="A23" s="6" t="s">
        <v>21</v>
      </c>
      <c r="B23" s="8">
        <v>500</v>
      </c>
      <c r="C23" s="7">
        <v>5.33</v>
      </c>
      <c r="D23" s="6" t="s">
        <v>8</v>
      </c>
      <c r="E23" s="2" t="s">
        <v>12</v>
      </c>
      <c r="F23" s="1" t="s">
        <v>14</v>
      </c>
      <c r="G23" s="1">
        <f t="shared" si="0"/>
        <v>10.66</v>
      </c>
      <c r="H23" s="9" t="s">
        <v>48</v>
      </c>
    </row>
    <row r="24" spans="1:8" x14ac:dyDescent="0.3">
      <c r="A24" s="6" t="s">
        <v>21</v>
      </c>
      <c r="B24" s="8">
        <v>1500</v>
      </c>
      <c r="C24" s="7">
        <v>10.130000000000001</v>
      </c>
      <c r="D24" s="6" t="s">
        <v>8</v>
      </c>
      <c r="E24" s="2" t="s">
        <v>12</v>
      </c>
      <c r="F24" s="1" t="s">
        <v>57</v>
      </c>
      <c r="G24" s="1">
        <f t="shared" si="0"/>
        <v>6.7533333333333339</v>
      </c>
      <c r="H24" s="9" t="s">
        <v>49</v>
      </c>
    </row>
    <row r="25" spans="1:8" x14ac:dyDescent="0.3">
      <c r="A25" s="6" t="s">
        <v>22</v>
      </c>
      <c r="B25" s="8">
        <v>330</v>
      </c>
      <c r="C25" s="7">
        <v>5.43</v>
      </c>
      <c r="D25" s="6" t="s">
        <v>8</v>
      </c>
      <c r="E25" s="2" t="s">
        <v>12</v>
      </c>
      <c r="F25" s="1" t="s">
        <v>57</v>
      </c>
      <c r="G25" s="1">
        <f t="shared" si="0"/>
        <v>16.454545454545453</v>
      </c>
      <c r="H25" s="9" t="s">
        <v>50</v>
      </c>
    </row>
    <row r="26" spans="1:8" x14ac:dyDescent="0.3">
      <c r="A26" s="6" t="s">
        <v>22</v>
      </c>
      <c r="B26" s="8">
        <v>750</v>
      </c>
      <c r="C26" s="7">
        <v>10.75</v>
      </c>
      <c r="D26" s="6" t="s">
        <v>8</v>
      </c>
      <c r="E26" s="2" t="s">
        <v>12</v>
      </c>
      <c r="F26" s="1" t="s">
        <v>57</v>
      </c>
      <c r="G26" s="1">
        <f t="shared" si="0"/>
        <v>14.333333333333334</v>
      </c>
      <c r="H26" s="9" t="s">
        <v>51</v>
      </c>
    </row>
    <row r="27" spans="1:8" x14ac:dyDescent="0.3">
      <c r="A27" s="6" t="s">
        <v>23</v>
      </c>
      <c r="B27" s="8">
        <v>330</v>
      </c>
      <c r="C27" s="7">
        <v>7.88</v>
      </c>
      <c r="D27" s="6" t="s">
        <v>8</v>
      </c>
      <c r="E27" s="2" t="s">
        <v>12</v>
      </c>
      <c r="F27" s="1" t="s">
        <v>57</v>
      </c>
      <c r="G27" s="1">
        <f t="shared" si="0"/>
        <v>23.878787878787879</v>
      </c>
      <c r="H27" s="9" t="s">
        <v>52</v>
      </c>
    </row>
    <row r="28" spans="1:8" x14ac:dyDescent="0.3">
      <c r="A28" s="6" t="s">
        <v>23</v>
      </c>
      <c r="B28" s="8">
        <v>750</v>
      </c>
      <c r="C28" s="7">
        <v>10.95</v>
      </c>
      <c r="D28" s="6" t="s">
        <v>8</v>
      </c>
      <c r="E28" s="2" t="s">
        <v>12</v>
      </c>
      <c r="F28" s="1" t="s">
        <v>57</v>
      </c>
      <c r="G28" s="1">
        <f t="shared" si="0"/>
        <v>14.6</v>
      </c>
      <c r="H28" s="9" t="s">
        <v>53</v>
      </c>
    </row>
    <row r="29" spans="1:8" x14ac:dyDescent="0.3">
      <c r="A29" s="6" t="s">
        <v>24</v>
      </c>
      <c r="B29" s="8">
        <v>750</v>
      </c>
      <c r="C29" s="7">
        <v>11.04</v>
      </c>
      <c r="D29" s="6" t="s">
        <v>8</v>
      </c>
      <c r="E29" s="2" t="s">
        <v>12</v>
      </c>
      <c r="F29" s="1" t="s">
        <v>57</v>
      </c>
      <c r="G29" s="1">
        <f t="shared" si="0"/>
        <v>14.719999999999999</v>
      </c>
      <c r="H29" s="9" t="s">
        <v>54</v>
      </c>
    </row>
    <row r="30" spans="1:8" x14ac:dyDescent="0.3">
      <c r="A30" s="6" t="s">
        <v>24</v>
      </c>
      <c r="B30" s="8">
        <v>1000</v>
      </c>
      <c r="C30" s="7">
        <v>11.45</v>
      </c>
      <c r="D30" s="6" t="s">
        <v>8</v>
      </c>
      <c r="E30" s="2" t="s">
        <v>12</v>
      </c>
      <c r="F30" s="1" t="s">
        <v>57</v>
      </c>
      <c r="G30" s="1">
        <f t="shared" si="0"/>
        <v>11.45</v>
      </c>
      <c r="H30" s="9" t="s">
        <v>55</v>
      </c>
    </row>
    <row r="31" spans="1:8" x14ac:dyDescent="0.3">
      <c r="A31" s="6" t="s">
        <v>25</v>
      </c>
      <c r="B31" s="8">
        <v>1000</v>
      </c>
      <c r="C31" s="7">
        <v>11.61</v>
      </c>
      <c r="D31" s="6" t="s">
        <v>8</v>
      </c>
      <c r="E31" s="2" t="s">
        <v>12</v>
      </c>
      <c r="F31" s="1" t="s">
        <v>57</v>
      </c>
      <c r="G31" s="1">
        <f t="shared" si="0"/>
        <v>11.61</v>
      </c>
      <c r="H31" s="9" t="s">
        <v>56</v>
      </c>
    </row>
    <row r="32" spans="1:8" x14ac:dyDescent="0.3">
      <c r="A32" s="6" t="s">
        <v>18</v>
      </c>
      <c r="B32" s="8">
        <v>550</v>
      </c>
      <c r="C32" s="7">
        <v>1.52</v>
      </c>
      <c r="D32" s="6" t="s">
        <v>5</v>
      </c>
      <c r="E32" s="2" t="s">
        <v>13</v>
      </c>
      <c r="F32" s="1" t="s">
        <v>57</v>
      </c>
      <c r="G32" s="1">
        <f t="shared" si="0"/>
        <v>2.7636363636363632</v>
      </c>
      <c r="H32" s="9" t="s">
        <v>29</v>
      </c>
    </row>
    <row r="33" spans="1:8" x14ac:dyDescent="0.3">
      <c r="A33" s="6" t="s">
        <v>18</v>
      </c>
      <c r="B33" s="8">
        <v>750</v>
      </c>
      <c r="C33" s="7">
        <v>2.35</v>
      </c>
      <c r="D33" s="6" t="s">
        <v>5</v>
      </c>
      <c r="E33" s="2" t="s">
        <v>13</v>
      </c>
      <c r="F33" s="1" t="s">
        <v>57</v>
      </c>
      <c r="G33" s="1">
        <f t="shared" si="0"/>
        <v>3.1333333333333333</v>
      </c>
      <c r="H33" s="9" t="s">
        <v>30</v>
      </c>
    </row>
    <row r="34" spans="1:8" x14ac:dyDescent="0.3">
      <c r="A34" s="6" t="s">
        <v>18</v>
      </c>
      <c r="B34" s="8">
        <v>1250</v>
      </c>
      <c r="C34" s="7">
        <v>2.78</v>
      </c>
      <c r="D34" s="6" t="s">
        <v>5</v>
      </c>
      <c r="E34" s="2" t="s">
        <v>13</v>
      </c>
      <c r="F34" s="1" t="s">
        <v>57</v>
      </c>
      <c r="G34" s="1">
        <f t="shared" ref="G34:G65" si="1">C34/(B34/1000)</f>
        <v>2.2239999999999998</v>
      </c>
      <c r="H34" s="9" t="s">
        <v>31</v>
      </c>
    </row>
    <row r="35" spans="1:8" x14ac:dyDescent="0.3">
      <c r="A35" s="6" t="s">
        <v>18</v>
      </c>
      <c r="B35" s="8">
        <v>1500</v>
      </c>
      <c r="C35" s="7">
        <v>3.15</v>
      </c>
      <c r="D35" s="6" t="s">
        <v>5</v>
      </c>
      <c r="E35" s="2" t="s">
        <v>13</v>
      </c>
      <c r="F35" s="1" t="s">
        <v>57</v>
      </c>
      <c r="G35" s="1">
        <f t="shared" si="1"/>
        <v>2.1</v>
      </c>
      <c r="H35" s="9" t="s">
        <v>32</v>
      </c>
    </row>
    <row r="36" spans="1:8" x14ac:dyDescent="0.3">
      <c r="A36" s="6" t="s">
        <v>18</v>
      </c>
      <c r="B36" s="8">
        <v>6000</v>
      </c>
      <c r="C36" s="7">
        <v>9.5</v>
      </c>
      <c r="D36" s="6" t="s">
        <v>5</v>
      </c>
      <c r="E36" s="2" t="s">
        <v>13</v>
      </c>
      <c r="F36" s="1" t="s">
        <v>57</v>
      </c>
      <c r="G36" s="1">
        <f t="shared" si="1"/>
        <v>1.5833333333333333</v>
      </c>
      <c r="H36" s="9" t="s">
        <v>33</v>
      </c>
    </row>
    <row r="37" spans="1:8" x14ac:dyDescent="0.3">
      <c r="A37" s="6" t="s">
        <v>18</v>
      </c>
      <c r="B37" s="8">
        <v>400</v>
      </c>
      <c r="C37" s="7">
        <v>1.81</v>
      </c>
      <c r="D37" s="6" t="s">
        <v>5</v>
      </c>
      <c r="E37" s="2" t="s">
        <v>13</v>
      </c>
      <c r="F37" s="1" t="s">
        <v>57</v>
      </c>
      <c r="G37" s="1">
        <f t="shared" si="1"/>
        <v>4.5249999999999995</v>
      </c>
      <c r="H37" s="9" t="s">
        <v>34</v>
      </c>
    </row>
    <row r="38" spans="1:8" x14ac:dyDescent="0.3">
      <c r="A38" s="6" t="s">
        <v>18</v>
      </c>
      <c r="B38" s="8">
        <v>1000</v>
      </c>
      <c r="C38" s="7">
        <v>3.69</v>
      </c>
      <c r="D38" s="6" t="s">
        <v>5</v>
      </c>
      <c r="E38" s="2" t="s">
        <v>13</v>
      </c>
      <c r="F38" s="1" t="s">
        <v>57</v>
      </c>
      <c r="G38" s="1">
        <f t="shared" si="1"/>
        <v>3.69</v>
      </c>
      <c r="H38" s="9" t="s">
        <v>35</v>
      </c>
    </row>
    <row r="39" spans="1:8" x14ac:dyDescent="0.3">
      <c r="A39" s="6" t="s">
        <v>18</v>
      </c>
      <c r="B39" s="8">
        <v>1250</v>
      </c>
      <c r="C39" s="7">
        <v>2.5499999999999998</v>
      </c>
      <c r="D39" s="6" t="s">
        <v>5</v>
      </c>
      <c r="E39" s="2" t="s">
        <v>13</v>
      </c>
      <c r="F39" s="1" t="s">
        <v>57</v>
      </c>
      <c r="G39" s="1">
        <f t="shared" si="1"/>
        <v>2.04</v>
      </c>
      <c r="H39" s="9" t="s">
        <v>31</v>
      </c>
    </row>
    <row r="40" spans="1:8" x14ac:dyDescent="0.3">
      <c r="A40" s="6" t="s">
        <v>18</v>
      </c>
      <c r="B40" s="8">
        <v>6000</v>
      </c>
      <c r="C40" s="7">
        <v>9.93</v>
      </c>
      <c r="D40" s="6" t="s">
        <v>5</v>
      </c>
      <c r="E40" s="2" t="s">
        <v>13</v>
      </c>
      <c r="F40" s="1" t="s">
        <v>57</v>
      </c>
      <c r="G40" s="1">
        <f t="shared" si="1"/>
        <v>1.655</v>
      </c>
      <c r="H40" s="9" t="s">
        <v>33</v>
      </c>
    </row>
    <row r="41" spans="1:8" x14ac:dyDescent="0.3">
      <c r="A41" s="6" t="s">
        <v>10</v>
      </c>
      <c r="B41" s="8">
        <v>600</v>
      </c>
      <c r="C41" s="7">
        <v>0.88</v>
      </c>
      <c r="D41" s="6" t="s">
        <v>5</v>
      </c>
      <c r="E41" s="2" t="s">
        <v>13</v>
      </c>
      <c r="F41" s="1" t="s">
        <v>57</v>
      </c>
      <c r="G41" s="1">
        <f t="shared" si="1"/>
        <v>1.4666666666666668</v>
      </c>
      <c r="H41" s="9" t="s">
        <v>36</v>
      </c>
    </row>
    <row r="42" spans="1:8" x14ac:dyDescent="0.3">
      <c r="A42" s="6" t="s">
        <v>10</v>
      </c>
      <c r="B42" s="8">
        <v>1500</v>
      </c>
      <c r="C42" s="7">
        <v>1.5</v>
      </c>
      <c r="D42" s="6" t="s">
        <v>5</v>
      </c>
      <c r="E42" s="2" t="s">
        <v>13</v>
      </c>
      <c r="F42" s="1" t="s">
        <v>57</v>
      </c>
      <c r="G42" s="1">
        <f t="shared" si="1"/>
        <v>1</v>
      </c>
      <c r="H42" s="9" t="s">
        <v>37</v>
      </c>
    </row>
    <row r="43" spans="1:8" x14ac:dyDescent="0.3">
      <c r="A43" s="6" t="s">
        <v>10</v>
      </c>
      <c r="B43" s="8">
        <v>5000</v>
      </c>
      <c r="C43" s="7">
        <v>6.13</v>
      </c>
      <c r="D43" s="6" t="s">
        <v>5</v>
      </c>
      <c r="E43" s="2" t="s">
        <v>13</v>
      </c>
      <c r="F43" s="1" t="s">
        <v>57</v>
      </c>
      <c r="G43" s="1">
        <f t="shared" si="1"/>
        <v>1.226</v>
      </c>
      <c r="H43" s="9" t="s">
        <v>38</v>
      </c>
    </row>
    <row r="44" spans="1:8" x14ac:dyDescent="0.3">
      <c r="A44" s="6" t="s">
        <v>7</v>
      </c>
      <c r="B44" s="8">
        <v>500</v>
      </c>
      <c r="C44" s="7">
        <v>0.82</v>
      </c>
      <c r="D44" s="6" t="s">
        <v>5</v>
      </c>
      <c r="E44" s="2" t="s">
        <v>13</v>
      </c>
      <c r="F44" s="1" t="s">
        <v>57</v>
      </c>
      <c r="G44" s="1">
        <f t="shared" si="1"/>
        <v>1.64</v>
      </c>
      <c r="H44" s="9" t="s">
        <v>39</v>
      </c>
    </row>
    <row r="45" spans="1:8" x14ac:dyDescent="0.3">
      <c r="A45" s="6" t="s">
        <v>7</v>
      </c>
      <c r="B45" s="8">
        <v>1500</v>
      </c>
      <c r="C45" s="7">
        <v>1.47</v>
      </c>
      <c r="D45" s="6" t="s">
        <v>5</v>
      </c>
      <c r="E45" s="2" t="s">
        <v>13</v>
      </c>
      <c r="F45" s="1" t="s">
        <v>57</v>
      </c>
      <c r="G45" s="1">
        <f t="shared" si="1"/>
        <v>0.98</v>
      </c>
      <c r="H45" s="9" t="s">
        <v>40</v>
      </c>
    </row>
    <row r="46" spans="1:8" x14ac:dyDescent="0.3">
      <c r="A46" s="6" t="s">
        <v>19</v>
      </c>
      <c r="B46" s="8">
        <v>600</v>
      </c>
      <c r="C46" s="7">
        <v>0.81</v>
      </c>
      <c r="D46" s="6" t="s">
        <v>5</v>
      </c>
      <c r="E46" s="2" t="s">
        <v>13</v>
      </c>
      <c r="F46" s="1" t="s">
        <v>57</v>
      </c>
      <c r="G46" s="1">
        <f t="shared" si="1"/>
        <v>1.35</v>
      </c>
      <c r="H46" s="9" t="s">
        <v>41</v>
      </c>
    </row>
    <row r="47" spans="1:8" x14ac:dyDescent="0.3">
      <c r="A47" s="6" t="s">
        <v>19</v>
      </c>
      <c r="B47" s="8">
        <v>1500</v>
      </c>
      <c r="C47" s="7">
        <v>1.8</v>
      </c>
      <c r="D47" s="6" t="s">
        <v>5</v>
      </c>
      <c r="E47" s="2" t="s">
        <v>13</v>
      </c>
      <c r="F47" s="1" t="s">
        <v>57</v>
      </c>
      <c r="G47" s="1">
        <f t="shared" si="1"/>
        <v>1.2</v>
      </c>
      <c r="H47" s="9" t="s">
        <v>42</v>
      </c>
    </row>
    <row r="48" spans="1:8" x14ac:dyDescent="0.3">
      <c r="A48" s="6" t="s">
        <v>11</v>
      </c>
      <c r="B48" s="8">
        <v>300</v>
      </c>
      <c r="C48" s="7">
        <v>0.7</v>
      </c>
      <c r="D48" s="6" t="s">
        <v>5</v>
      </c>
      <c r="E48" s="2" t="s">
        <v>13</v>
      </c>
      <c r="F48" s="1" t="s">
        <v>57</v>
      </c>
      <c r="G48" s="1">
        <f t="shared" si="1"/>
        <v>2.3333333333333335</v>
      </c>
      <c r="H48" s="9" t="s">
        <v>43</v>
      </c>
    </row>
    <row r="49" spans="1:8" x14ac:dyDescent="0.3">
      <c r="A49" s="6" t="s">
        <v>11</v>
      </c>
      <c r="B49" s="8">
        <v>1500</v>
      </c>
      <c r="C49" s="7">
        <v>1.89</v>
      </c>
      <c r="D49" s="6" t="s">
        <v>5</v>
      </c>
      <c r="E49" s="2" t="s">
        <v>13</v>
      </c>
      <c r="F49" s="1" t="s">
        <v>57</v>
      </c>
      <c r="G49" s="1">
        <f t="shared" si="1"/>
        <v>1.26</v>
      </c>
      <c r="H49" s="9" t="s">
        <v>44</v>
      </c>
    </row>
    <row r="50" spans="1:8" x14ac:dyDescent="0.3">
      <c r="A50" s="6" t="s">
        <v>11</v>
      </c>
      <c r="B50" s="8">
        <v>6000</v>
      </c>
      <c r="C50" s="7">
        <v>7.44</v>
      </c>
      <c r="D50" s="6" t="s">
        <v>5</v>
      </c>
      <c r="E50" s="2" t="s">
        <v>13</v>
      </c>
      <c r="F50" s="1" t="s">
        <v>57</v>
      </c>
      <c r="G50" s="1">
        <f t="shared" si="1"/>
        <v>1.24</v>
      </c>
      <c r="H50" s="9" t="s">
        <v>45</v>
      </c>
    </row>
    <row r="51" spans="1:8" x14ac:dyDescent="0.3">
      <c r="A51" s="6" t="s">
        <v>20</v>
      </c>
      <c r="B51" s="8">
        <v>500</v>
      </c>
      <c r="C51" s="7">
        <v>7.71</v>
      </c>
      <c r="D51" s="6" t="s">
        <v>5</v>
      </c>
      <c r="E51" s="2" t="s">
        <v>13</v>
      </c>
      <c r="F51" s="1" t="s">
        <v>57</v>
      </c>
      <c r="G51" s="1">
        <f t="shared" si="1"/>
        <v>15.42</v>
      </c>
      <c r="H51" s="9" t="s">
        <v>46</v>
      </c>
    </row>
    <row r="52" spans="1:8" x14ac:dyDescent="0.3">
      <c r="A52" s="6" t="s">
        <v>20</v>
      </c>
      <c r="B52" s="8">
        <v>1000</v>
      </c>
      <c r="C52" s="7">
        <v>11.46</v>
      </c>
      <c r="D52" s="6" t="s">
        <v>5</v>
      </c>
      <c r="E52" s="2" t="s">
        <v>13</v>
      </c>
      <c r="F52" s="1" t="s">
        <v>57</v>
      </c>
      <c r="G52" s="1">
        <f t="shared" si="1"/>
        <v>11.46</v>
      </c>
      <c r="H52" s="9" t="s">
        <v>47</v>
      </c>
    </row>
    <row r="53" spans="1:8" x14ac:dyDescent="0.3">
      <c r="A53" s="6" t="s">
        <v>21</v>
      </c>
      <c r="B53" s="8">
        <v>500</v>
      </c>
      <c r="C53" s="7">
        <v>5.04</v>
      </c>
      <c r="D53" s="6" t="s">
        <v>5</v>
      </c>
      <c r="E53" s="2" t="s">
        <v>13</v>
      </c>
      <c r="F53" s="1" t="s">
        <v>57</v>
      </c>
      <c r="G53" s="1">
        <f t="shared" si="1"/>
        <v>10.08</v>
      </c>
      <c r="H53" s="9" t="s">
        <v>48</v>
      </c>
    </row>
    <row r="54" spans="1:8" x14ac:dyDescent="0.3">
      <c r="A54" s="6" t="s">
        <v>21</v>
      </c>
      <c r="B54" s="8">
        <v>1500</v>
      </c>
      <c r="C54" s="7">
        <v>10.26</v>
      </c>
      <c r="D54" s="6" t="s">
        <v>5</v>
      </c>
      <c r="E54" s="2" t="s">
        <v>13</v>
      </c>
      <c r="F54" s="1" t="s">
        <v>57</v>
      </c>
      <c r="G54" s="1">
        <f t="shared" si="1"/>
        <v>6.84</v>
      </c>
      <c r="H54" s="9" t="s">
        <v>49</v>
      </c>
    </row>
    <row r="55" spans="1:8" x14ac:dyDescent="0.3">
      <c r="A55" s="6" t="s">
        <v>22</v>
      </c>
      <c r="B55" s="8">
        <v>330</v>
      </c>
      <c r="C55" s="7">
        <v>5</v>
      </c>
      <c r="D55" s="6" t="s">
        <v>5</v>
      </c>
      <c r="E55" s="2" t="s">
        <v>13</v>
      </c>
      <c r="F55" s="1" t="s">
        <v>57</v>
      </c>
      <c r="G55" s="1">
        <f t="shared" si="1"/>
        <v>15.15151515151515</v>
      </c>
      <c r="H55" s="9" t="s">
        <v>50</v>
      </c>
    </row>
    <row r="56" spans="1:8" x14ac:dyDescent="0.3">
      <c r="A56" s="6" t="s">
        <v>22</v>
      </c>
      <c r="B56" s="8">
        <v>750</v>
      </c>
      <c r="C56" s="7">
        <v>10.27</v>
      </c>
      <c r="D56" s="6" t="s">
        <v>5</v>
      </c>
      <c r="E56" s="2" t="s">
        <v>13</v>
      </c>
      <c r="F56" s="1" t="s">
        <v>57</v>
      </c>
      <c r="G56" s="1">
        <f t="shared" si="1"/>
        <v>13.693333333333333</v>
      </c>
      <c r="H56" s="9" t="s">
        <v>51</v>
      </c>
    </row>
    <row r="57" spans="1:8" x14ac:dyDescent="0.3">
      <c r="A57" s="6" t="s">
        <v>23</v>
      </c>
      <c r="B57" s="8">
        <v>330</v>
      </c>
      <c r="C57" s="7">
        <v>7.77</v>
      </c>
      <c r="D57" s="6" t="s">
        <v>5</v>
      </c>
      <c r="E57" s="2" t="s">
        <v>13</v>
      </c>
      <c r="F57" s="1" t="s">
        <v>57</v>
      </c>
      <c r="G57" s="1">
        <f t="shared" si="1"/>
        <v>23.545454545454543</v>
      </c>
      <c r="H57" s="9" t="s">
        <v>52</v>
      </c>
    </row>
    <row r="58" spans="1:8" x14ac:dyDescent="0.3">
      <c r="A58" s="6" t="s">
        <v>23</v>
      </c>
      <c r="B58" s="8">
        <v>750</v>
      </c>
      <c r="C58" s="7">
        <v>10.38</v>
      </c>
      <c r="D58" s="6" t="s">
        <v>5</v>
      </c>
      <c r="E58" s="2" t="s">
        <v>13</v>
      </c>
      <c r="F58" s="1" t="s">
        <v>57</v>
      </c>
      <c r="G58" s="1">
        <f t="shared" si="1"/>
        <v>13.840000000000002</v>
      </c>
      <c r="H58" s="9" t="s">
        <v>53</v>
      </c>
    </row>
    <row r="59" spans="1:8" x14ac:dyDescent="0.3">
      <c r="A59" s="6" t="s">
        <v>24</v>
      </c>
      <c r="B59" s="8">
        <v>750</v>
      </c>
      <c r="C59" s="7">
        <v>10.81</v>
      </c>
      <c r="D59" s="6" t="s">
        <v>5</v>
      </c>
      <c r="E59" s="2" t="s">
        <v>13</v>
      </c>
      <c r="F59" s="1" t="s">
        <v>57</v>
      </c>
      <c r="G59" s="1">
        <f t="shared" si="1"/>
        <v>14.413333333333334</v>
      </c>
      <c r="H59" s="9" t="s">
        <v>54</v>
      </c>
    </row>
    <row r="60" spans="1:8" x14ac:dyDescent="0.3">
      <c r="A60" s="6" t="s">
        <v>24</v>
      </c>
      <c r="B60" s="8">
        <v>1000</v>
      </c>
      <c r="C60" s="7">
        <v>10.69</v>
      </c>
      <c r="D60" s="6" t="s">
        <v>5</v>
      </c>
      <c r="E60" s="2" t="s">
        <v>13</v>
      </c>
      <c r="F60" s="1" t="s">
        <v>57</v>
      </c>
      <c r="G60" s="1">
        <f t="shared" si="1"/>
        <v>10.69</v>
      </c>
      <c r="H60" s="9" t="s">
        <v>55</v>
      </c>
    </row>
    <row r="61" spans="1:8" x14ac:dyDescent="0.3">
      <c r="A61" s="6" t="s">
        <v>25</v>
      </c>
      <c r="B61" s="8">
        <v>1000</v>
      </c>
      <c r="C61" s="7">
        <v>10.86</v>
      </c>
      <c r="D61" s="6" t="s">
        <v>5</v>
      </c>
      <c r="E61" s="2" t="s">
        <v>13</v>
      </c>
      <c r="F61" s="1" t="s">
        <v>57</v>
      </c>
      <c r="G61" s="1">
        <f t="shared" si="1"/>
        <v>10.86</v>
      </c>
      <c r="H61" s="9" t="s">
        <v>56</v>
      </c>
    </row>
    <row r="62" spans="1:8" x14ac:dyDescent="0.3">
      <c r="A62" s="6" t="s">
        <v>18</v>
      </c>
      <c r="B62" s="8">
        <v>550</v>
      </c>
      <c r="C62" s="7">
        <v>1.64</v>
      </c>
      <c r="D62" s="6" t="s">
        <v>26</v>
      </c>
      <c r="E62" s="2" t="s">
        <v>59</v>
      </c>
      <c r="F62" s="1" t="s">
        <v>57</v>
      </c>
      <c r="G62" s="1">
        <f t="shared" si="1"/>
        <v>2.9818181818181815</v>
      </c>
      <c r="H62" s="9" t="s">
        <v>29</v>
      </c>
    </row>
    <row r="63" spans="1:8" x14ac:dyDescent="0.3">
      <c r="A63" s="6" t="s">
        <v>18</v>
      </c>
      <c r="B63" s="8">
        <v>750</v>
      </c>
      <c r="C63" s="7">
        <v>2.4300000000000002</v>
      </c>
      <c r="D63" s="6" t="s">
        <v>26</v>
      </c>
      <c r="E63" s="2" t="s">
        <v>59</v>
      </c>
      <c r="F63" s="1" t="s">
        <v>57</v>
      </c>
      <c r="G63" s="1">
        <f t="shared" si="1"/>
        <v>3.24</v>
      </c>
      <c r="H63" s="9" t="s">
        <v>30</v>
      </c>
    </row>
    <row r="64" spans="1:8" x14ac:dyDescent="0.3">
      <c r="A64" s="6" t="s">
        <v>18</v>
      </c>
      <c r="B64" s="8">
        <v>1250</v>
      </c>
      <c r="C64" s="7">
        <v>2.95</v>
      </c>
      <c r="D64" s="6" t="s">
        <v>26</v>
      </c>
      <c r="E64" s="2" t="s">
        <v>59</v>
      </c>
      <c r="F64" s="1" t="s">
        <v>57</v>
      </c>
      <c r="G64" s="1">
        <f t="shared" si="1"/>
        <v>2.3600000000000003</v>
      </c>
      <c r="H64" s="9" t="s">
        <v>31</v>
      </c>
    </row>
    <row r="65" spans="1:8" x14ac:dyDescent="0.3">
      <c r="A65" s="6" t="s">
        <v>18</v>
      </c>
      <c r="B65" s="8">
        <v>1500</v>
      </c>
      <c r="C65" s="7">
        <v>3.35</v>
      </c>
      <c r="D65" s="6" t="s">
        <v>26</v>
      </c>
      <c r="E65" s="2" t="s">
        <v>59</v>
      </c>
      <c r="F65" s="1" t="s">
        <v>57</v>
      </c>
      <c r="G65" s="1">
        <f t="shared" si="1"/>
        <v>2.2333333333333334</v>
      </c>
      <c r="H65" s="9" t="s">
        <v>32</v>
      </c>
    </row>
    <row r="66" spans="1:8" x14ac:dyDescent="0.3">
      <c r="A66" s="6" t="s">
        <v>18</v>
      </c>
      <c r="B66" s="8">
        <v>6000</v>
      </c>
      <c r="C66" s="7">
        <v>10.19</v>
      </c>
      <c r="D66" s="6" t="s">
        <v>26</v>
      </c>
      <c r="E66" s="2" t="s">
        <v>59</v>
      </c>
      <c r="F66" s="1" t="s">
        <v>57</v>
      </c>
      <c r="G66" s="1">
        <f t="shared" ref="G66:G97" si="2">C66/(B66/1000)</f>
        <v>1.6983333333333333</v>
      </c>
      <c r="H66" s="9" t="s">
        <v>33</v>
      </c>
    </row>
    <row r="67" spans="1:8" x14ac:dyDescent="0.3">
      <c r="A67" s="6" t="s">
        <v>18</v>
      </c>
      <c r="B67" s="8">
        <v>400</v>
      </c>
      <c r="C67" s="7">
        <v>1.92</v>
      </c>
      <c r="D67" s="6" t="s">
        <v>26</v>
      </c>
      <c r="E67" s="2" t="s">
        <v>59</v>
      </c>
      <c r="F67" s="1" t="s">
        <v>57</v>
      </c>
      <c r="G67" s="1">
        <f t="shared" si="2"/>
        <v>4.8</v>
      </c>
      <c r="H67" s="9" t="s">
        <v>34</v>
      </c>
    </row>
    <row r="68" spans="1:8" x14ac:dyDescent="0.3">
      <c r="A68" s="6" t="s">
        <v>18</v>
      </c>
      <c r="B68" s="8">
        <v>1000</v>
      </c>
      <c r="C68" s="7">
        <v>3.95</v>
      </c>
      <c r="D68" s="6" t="s">
        <v>26</v>
      </c>
      <c r="E68" s="2" t="s">
        <v>59</v>
      </c>
      <c r="F68" s="1" t="s">
        <v>57</v>
      </c>
      <c r="G68" s="1">
        <f t="shared" si="2"/>
        <v>3.95</v>
      </c>
      <c r="H68" s="9" t="s">
        <v>35</v>
      </c>
    </row>
    <row r="69" spans="1:8" x14ac:dyDescent="0.3">
      <c r="A69" s="6" t="s">
        <v>18</v>
      </c>
      <c r="B69" s="8">
        <v>1250</v>
      </c>
      <c r="C69" s="7">
        <v>2.79</v>
      </c>
      <c r="D69" s="6" t="s">
        <v>26</v>
      </c>
      <c r="E69" s="2" t="s">
        <v>59</v>
      </c>
      <c r="F69" s="1" t="s">
        <v>57</v>
      </c>
      <c r="G69" s="1">
        <f t="shared" si="2"/>
        <v>2.2320000000000002</v>
      </c>
      <c r="H69" s="9" t="s">
        <v>31</v>
      </c>
    </row>
    <row r="70" spans="1:8" x14ac:dyDescent="0.3">
      <c r="A70" s="6" t="s">
        <v>18</v>
      </c>
      <c r="B70" s="8">
        <v>6000</v>
      </c>
      <c r="C70" s="7">
        <v>10.36</v>
      </c>
      <c r="D70" s="6" t="s">
        <v>26</v>
      </c>
      <c r="E70" s="2" t="s">
        <v>59</v>
      </c>
      <c r="F70" s="1" t="s">
        <v>57</v>
      </c>
      <c r="G70" s="1">
        <f t="shared" si="2"/>
        <v>1.7266666666666666</v>
      </c>
      <c r="H70" s="9" t="s">
        <v>33</v>
      </c>
    </row>
    <row r="71" spans="1:8" x14ac:dyDescent="0.3">
      <c r="A71" s="6" t="s">
        <v>10</v>
      </c>
      <c r="B71" s="8">
        <v>600</v>
      </c>
      <c r="C71" s="7">
        <v>0.92</v>
      </c>
      <c r="D71" s="6" t="s">
        <v>26</v>
      </c>
      <c r="E71" s="2" t="s">
        <v>59</v>
      </c>
      <c r="F71" s="1" t="s">
        <v>57</v>
      </c>
      <c r="G71" s="1">
        <f t="shared" si="2"/>
        <v>1.5333333333333334</v>
      </c>
      <c r="H71" s="9" t="s">
        <v>36</v>
      </c>
    </row>
    <row r="72" spans="1:8" x14ac:dyDescent="0.3">
      <c r="A72" s="6" t="s">
        <v>10</v>
      </c>
      <c r="B72" s="8">
        <v>1500</v>
      </c>
      <c r="C72" s="7">
        <v>1.65</v>
      </c>
      <c r="D72" s="6" t="s">
        <v>26</v>
      </c>
      <c r="E72" s="2" t="s">
        <v>59</v>
      </c>
      <c r="F72" s="1" t="s">
        <v>57</v>
      </c>
      <c r="G72" s="1">
        <f t="shared" si="2"/>
        <v>1.0999999999999999</v>
      </c>
      <c r="H72" s="9" t="s">
        <v>37</v>
      </c>
    </row>
    <row r="73" spans="1:8" x14ac:dyDescent="0.3">
      <c r="A73" s="6" t="s">
        <v>10</v>
      </c>
      <c r="B73" s="8">
        <v>5000</v>
      </c>
      <c r="C73" s="7">
        <v>6.67</v>
      </c>
      <c r="D73" s="6" t="s">
        <v>26</v>
      </c>
      <c r="E73" s="2" t="s">
        <v>59</v>
      </c>
      <c r="F73" s="1" t="s">
        <v>57</v>
      </c>
      <c r="G73" s="1">
        <f t="shared" si="2"/>
        <v>1.3340000000000001</v>
      </c>
      <c r="H73" s="9" t="s">
        <v>38</v>
      </c>
    </row>
    <row r="74" spans="1:8" x14ac:dyDescent="0.3">
      <c r="A74" s="6" t="s">
        <v>7</v>
      </c>
      <c r="B74" s="8">
        <v>500</v>
      </c>
      <c r="C74" s="7">
        <v>0.86</v>
      </c>
      <c r="D74" s="6" t="s">
        <v>26</v>
      </c>
      <c r="E74" s="2" t="s">
        <v>59</v>
      </c>
      <c r="F74" s="1" t="s">
        <v>57</v>
      </c>
      <c r="G74" s="1">
        <f t="shared" si="2"/>
        <v>1.72</v>
      </c>
      <c r="H74" s="9" t="s">
        <v>39</v>
      </c>
    </row>
    <row r="75" spans="1:8" x14ac:dyDescent="0.3">
      <c r="A75" s="6" t="s">
        <v>7</v>
      </c>
      <c r="B75" s="8">
        <v>1500</v>
      </c>
      <c r="C75" s="7">
        <v>1.55</v>
      </c>
      <c r="D75" s="6" t="s">
        <v>26</v>
      </c>
      <c r="E75" s="2" t="s">
        <v>59</v>
      </c>
      <c r="F75" s="1" t="s">
        <v>57</v>
      </c>
      <c r="G75" s="1">
        <f t="shared" si="2"/>
        <v>1.0333333333333334</v>
      </c>
      <c r="H75" s="9" t="s">
        <v>40</v>
      </c>
    </row>
    <row r="76" spans="1:8" x14ac:dyDescent="0.3">
      <c r="A76" s="6" t="s">
        <v>19</v>
      </c>
      <c r="B76" s="8">
        <v>600</v>
      </c>
      <c r="C76" s="7">
        <v>0.86</v>
      </c>
      <c r="D76" s="6" t="s">
        <v>26</v>
      </c>
      <c r="E76" s="2" t="s">
        <v>59</v>
      </c>
      <c r="F76" s="1" t="s">
        <v>57</v>
      </c>
      <c r="G76" s="1">
        <f t="shared" si="2"/>
        <v>1.4333333333333333</v>
      </c>
      <c r="H76" s="9" t="s">
        <v>41</v>
      </c>
    </row>
    <row r="77" spans="1:8" x14ac:dyDescent="0.3">
      <c r="A77" s="6" t="s">
        <v>19</v>
      </c>
      <c r="B77" s="8">
        <v>1500</v>
      </c>
      <c r="C77" s="7">
        <v>1.9</v>
      </c>
      <c r="D77" s="6" t="s">
        <v>26</v>
      </c>
      <c r="E77" s="2" t="s">
        <v>59</v>
      </c>
      <c r="F77" s="1" t="s">
        <v>57</v>
      </c>
      <c r="G77" s="1">
        <f t="shared" si="2"/>
        <v>1.2666666666666666</v>
      </c>
      <c r="H77" s="9" t="s">
        <v>42</v>
      </c>
    </row>
    <row r="78" spans="1:8" x14ac:dyDescent="0.3">
      <c r="A78" s="6" t="s">
        <v>11</v>
      </c>
      <c r="B78" s="8">
        <v>300</v>
      </c>
      <c r="C78" s="7">
        <v>0.7</v>
      </c>
      <c r="D78" s="6" t="s">
        <v>26</v>
      </c>
      <c r="E78" s="2" t="s">
        <v>59</v>
      </c>
      <c r="F78" s="1" t="s">
        <v>57</v>
      </c>
      <c r="G78" s="1">
        <f t="shared" si="2"/>
        <v>2.3333333333333335</v>
      </c>
      <c r="H78" s="9" t="s">
        <v>43</v>
      </c>
    </row>
    <row r="79" spans="1:8" x14ac:dyDescent="0.3">
      <c r="A79" s="6" t="s">
        <v>11</v>
      </c>
      <c r="B79" s="8">
        <v>1500</v>
      </c>
      <c r="C79" s="7">
        <v>2.09</v>
      </c>
      <c r="D79" s="6" t="s">
        <v>26</v>
      </c>
      <c r="E79" s="2" t="s">
        <v>59</v>
      </c>
      <c r="F79" s="1" t="s">
        <v>57</v>
      </c>
      <c r="G79" s="1">
        <f t="shared" si="2"/>
        <v>1.3933333333333333</v>
      </c>
      <c r="H79" s="9" t="s">
        <v>44</v>
      </c>
    </row>
    <row r="80" spans="1:8" x14ac:dyDescent="0.3">
      <c r="A80" s="6" t="s">
        <v>11</v>
      </c>
      <c r="B80" s="8">
        <v>6000</v>
      </c>
      <c r="C80" s="7">
        <v>8.1300000000000008</v>
      </c>
      <c r="D80" s="6" t="s">
        <v>26</v>
      </c>
      <c r="E80" s="2" t="s">
        <v>59</v>
      </c>
      <c r="F80" s="1" t="s">
        <v>57</v>
      </c>
      <c r="G80" s="1">
        <f t="shared" si="2"/>
        <v>1.3550000000000002</v>
      </c>
      <c r="H80" s="9" t="s">
        <v>45</v>
      </c>
    </row>
    <row r="81" spans="1:8" x14ac:dyDescent="0.3">
      <c r="A81" s="6" t="s">
        <v>20</v>
      </c>
      <c r="B81" s="8">
        <v>500</v>
      </c>
      <c r="C81" s="7">
        <v>8.24</v>
      </c>
      <c r="D81" s="6" t="s">
        <v>26</v>
      </c>
      <c r="E81" s="2" t="s">
        <v>59</v>
      </c>
      <c r="F81" s="1" t="s">
        <v>57</v>
      </c>
      <c r="G81" s="1">
        <f t="shared" si="2"/>
        <v>16.48</v>
      </c>
      <c r="H81" s="9" t="s">
        <v>46</v>
      </c>
    </row>
    <row r="82" spans="1:8" x14ac:dyDescent="0.3">
      <c r="A82" s="6" t="s">
        <v>20</v>
      </c>
      <c r="B82" s="8">
        <v>1000</v>
      </c>
      <c r="C82" s="7">
        <v>12.76</v>
      </c>
      <c r="D82" s="6" t="s">
        <v>26</v>
      </c>
      <c r="E82" s="2" t="s">
        <v>59</v>
      </c>
      <c r="F82" s="1" t="s">
        <v>57</v>
      </c>
      <c r="G82" s="1">
        <f t="shared" si="2"/>
        <v>12.76</v>
      </c>
      <c r="H82" s="9" t="s">
        <v>47</v>
      </c>
    </row>
    <row r="83" spans="1:8" x14ac:dyDescent="0.3">
      <c r="A83" s="6" t="s">
        <v>21</v>
      </c>
      <c r="B83" s="8">
        <v>500</v>
      </c>
      <c r="C83" s="7">
        <v>5.73</v>
      </c>
      <c r="D83" s="6" t="s">
        <v>26</v>
      </c>
      <c r="E83" s="2" t="s">
        <v>59</v>
      </c>
      <c r="F83" s="1" t="s">
        <v>57</v>
      </c>
      <c r="G83" s="1">
        <f t="shared" si="2"/>
        <v>11.46</v>
      </c>
      <c r="H83" s="9" t="s">
        <v>48</v>
      </c>
    </row>
    <row r="84" spans="1:8" x14ac:dyDescent="0.3">
      <c r="A84" s="6" t="s">
        <v>21</v>
      </c>
      <c r="B84" s="8">
        <v>1500</v>
      </c>
      <c r="C84" s="7">
        <v>10.44</v>
      </c>
      <c r="D84" s="6" t="s">
        <v>26</v>
      </c>
      <c r="E84" s="2" t="s">
        <v>59</v>
      </c>
      <c r="F84" s="1" t="s">
        <v>57</v>
      </c>
      <c r="G84" s="1">
        <f t="shared" si="2"/>
        <v>6.96</v>
      </c>
      <c r="H84" s="9" t="s">
        <v>49</v>
      </c>
    </row>
    <row r="85" spans="1:8" x14ac:dyDescent="0.3">
      <c r="A85" s="6" t="s">
        <v>22</v>
      </c>
      <c r="B85" s="8">
        <v>330</v>
      </c>
      <c r="C85" s="7">
        <v>5.56</v>
      </c>
      <c r="D85" s="6" t="s">
        <v>26</v>
      </c>
      <c r="E85" s="2" t="s">
        <v>59</v>
      </c>
      <c r="F85" s="1" t="s">
        <v>57</v>
      </c>
      <c r="G85" s="1">
        <f t="shared" si="2"/>
        <v>16.848484848484848</v>
      </c>
      <c r="H85" s="9" t="s">
        <v>50</v>
      </c>
    </row>
    <row r="86" spans="1:8" x14ac:dyDescent="0.3">
      <c r="A86" s="6" t="s">
        <v>22</v>
      </c>
      <c r="B86" s="8">
        <v>750</v>
      </c>
      <c r="C86" s="7">
        <v>10.7</v>
      </c>
      <c r="D86" s="6" t="s">
        <v>26</v>
      </c>
      <c r="E86" s="2" t="s">
        <v>59</v>
      </c>
      <c r="F86" s="1" t="s">
        <v>57</v>
      </c>
      <c r="G86" s="1">
        <f t="shared" si="2"/>
        <v>14.266666666666666</v>
      </c>
      <c r="H86" s="9" t="s">
        <v>51</v>
      </c>
    </row>
    <row r="87" spans="1:8" x14ac:dyDescent="0.3">
      <c r="A87" s="6" t="s">
        <v>23</v>
      </c>
      <c r="B87" s="8">
        <v>330</v>
      </c>
      <c r="C87" s="7">
        <v>8.76</v>
      </c>
      <c r="D87" s="6" t="s">
        <v>26</v>
      </c>
      <c r="E87" s="2" t="s">
        <v>59</v>
      </c>
      <c r="F87" s="1" t="s">
        <v>57</v>
      </c>
      <c r="G87" s="1">
        <f t="shared" si="2"/>
        <v>26.545454545454543</v>
      </c>
      <c r="H87" s="9" t="s">
        <v>52</v>
      </c>
    </row>
    <row r="88" spans="1:8" x14ac:dyDescent="0.3">
      <c r="A88" s="6" t="s">
        <v>23</v>
      </c>
      <c r="B88" s="8">
        <v>750</v>
      </c>
      <c r="C88" s="7">
        <v>10.66</v>
      </c>
      <c r="D88" s="6" t="s">
        <v>26</v>
      </c>
      <c r="E88" s="2" t="s">
        <v>59</v>
      </c>
      <c r="F88" s="1" t="s">
        <v>57</v>
      </c>
      <c r="G88" s="1">
        <f t="shared" si="2"/>
        <v>14.213333333333333</v>
      </c>
      <c r="H88" s="9" t="s">
        <v>53</v>
      </c>
    </row>
    <row r="89" spans="1:8" x14ac:dyDescent="0.3">
      <c r="A89" s="6" t="s">
        <v>24</v>
      </c>
      <c r="B89" s="8">
        <v>750</v>
      </c>
      <c r="C89" s="7">
        <v>12.34</v>
      </c>
      <c r="D89" s="6" t="s">
        <v>26</v>
      </c>
      <c r="E89" s="2" t="s">
        <v>59</v>
      </c>
      <c r="F89" s="1" t="s">
        <v>57</v>
      </c>
      <c r="G89" s="1">
        <f t="shared" si="2"/>
        <v>16.453333333333333</v>
      </c>
      <c r="H89" s="9" t="s">
        <v>54</v>
      </c>
    </row>
    <row r="90" spans="1:8" x14ac:dyDescent="0.3">
      <c r="A90" s="6" t="s">
        <v>24</v>
      </c>
      <c r="B90" s="8">
        <v>1000</v>
      </c>
      <c r="C90" s="7">
        <v>11.35</v>
      </c>
      <c r="D90" s="6" t="s">
        <v>26</v>
      </c>
      <c r="E90" s="2" t="s">
        <v>59</v>
      </c>
      <c r="F90" s="1" t="s">
        <v>57</v>
      </c>
      <c r="G90" s="1">
        <f t="shared" si="2"/>
        <v>11.35</v>
      </c>
      <c r="H90" s="9" t="s">
        <v>55</v>
      </c>
    </row>
    <row r="91" spans="1:8" x14ac:dyDescent="0.3">
      <c r="A91" s="6" t="s">
        <v>25</v>
      </c>
      <c r="B91" s="8">
        <v>1000</v>
      </c>
      <c r="C91" s="7">
        <v>11.96</v>
      </c>
      <c r="D91" s="6" t="s">
        <v>26</v>
      </c>
      <c r="E91" s="2" t="s">
        <v>59</v>
      </c>
      <c r="F91" s="1" t="s">
        <v>57</v>
      </c>
      <c r="G91" s="1">
        <f t="shared" si="2"/>
        <v>11.96</v>
      </c>
      <c r="H91" s="9" t="s">
        <v>56</v>
      </c>
    </row>
    <row r="92" spans="1:8" x14ac:dyDescent="0.3">
      <c r="A92" s="6" t="s">
        <v>18</v>
      </c>
      <c r="B92" s="8">
        <v>550</v>
      </c>
      <c r="C92" s="7">
        <v>1.52</v>
      </c>
      <c r="D92" s="6" t="s">
        <v>27</v>
      </c>
      <c r="E92" s="2" t="s">
        <v>60</v>
      </c>
      <c r="F92" s="1" t="s">
        <v>57</v>
      </c>
      <c r="G92" s="1">
        <f t="shared" si="2"/>
        <v>2.7636363636363632</v>
      </c>
      <c r="H92" s="9" t="s">
        <v>29</v>
      </c>
    </row>
    <row r="93" spans="1:8" x14ac:dyDescent="0.3">
      <c r="A93" s="6" t="s">
        <v>18</v>
      </c>
      <c r="B93" s="8">
        <v>750</v>
      </c>
      <c r="C93" s="7">
        <v>2.34</v>
      </c>
      <c r="D93" s="6" t="s">
        <v>27</v>
      </c>
      <c r="E93" s="2" t="s">
        <v>60</v>
      </c>
      <c r="F93" s="1" t="s">
        <v>57</v>
      </c>
      <c r="G93" s="1">
        <f t="shared" si="2"/>
        <v>3.1199999999999997</v>
      </c>
      <c r="H93" s="9" t="s">
        <v>30</v>
      </c>
    </row>
    <row r="94" spans="1:8" x14ac:dyDescent="0.3">
      <c r="A94" s="6" t="s">
        <v>18</v>
      </c>
      <c r="B94" s="8">
        <v>1250</v>
      </c>
      <c r="C94" s="7">
        <v>3.08</v>
      </c>
      <c r="D94" s="6" t="s">
        <v>27</v>
      </c>
      <c r="E94" s="2" t="s">
        <v>60</v>
      </c>
      <c r="F94" s="1" t="s">
        <v>57</v>
      </c>
      <c r="G94" s="1">
        <f t="shared" si="2"/>
        <v>2.464</v>
      </c>
      <c r="H94" s="9" t="s">
        <v>31</v>
      </c>
    </row>
    <row r="95" spans="1:8" x14ac:dyDescent="0.3">
      <c r="A95" s="6" t="s">
        <v>18</v>
      </c>
      <c r="B95" s="8">
        <v>1500</v>
      </c>
      <c r="C95" s="7">
        <v>3.37</v>
      </c>
      <c r="D95" s="6" t="s">
        <v>27</v>
      </c>
      <c r="E95" s="2" t="s">
        <v>60</v>
      </c>
      <c r="F95" s="1" t="s">
        <v>57</v>
      </c>
      <c r="G95" s="1">
        <f t="shared" si="2"/>
        <v>2.2466666666666666</v>
      </c>
      <c r="H95" s="9" t="s">
        <v>32</v>
      </c>
    </row>
    <row r="96" spans="1:8" x14ac:dyDescent="0.3">
      <c r="A96" s="6" t="s">
        <v>18</v>
      </c>
      <c r="B96" s="8">
        <v>6000</v>
      </c>
      <c r="C96" s="7">
        <v>9.8800000000000008</v>
      </c>
      <c r="D96" s="6" t="s">
        <v>27</v>
      </c>
      <c r="E96" s="2" t="s">
        <v>60</v>
      </c>
      <c r="F96" s="1" t="s">
        <v>57</v>
      </c>
      <c r="G96" s="1">
        <f t="shared" si="2"/>
        <v>1.6466666666666667</v>
      </c>
      <c r="H96" s="9" t="s">
        <v>33</v>
      </c>
    </row>
    <row r="97" spans="1:8" x14ac:dyDescent="0.3">
      <c r="A97" s="6" t="s">
        <v>18</v>
      </c>
      <c r="B97" s="8">
        <v>400</v>
      </c>
      <c r="C97" s="7">
        <v>1.97</v>
      </c>
      <c r="D97" s="6" t="s">
        <v>27</v>
      </c>
      <c r="E97" s="2" t="s">
        <v>60</v>
      </c>
      <c r="F97" s="1" t="s">
        <v>57</v>
      </c>
      <c r="G97" s="1">
        <f t="shared" si="2"/>
        <v>4.9249999999999998</v>
      </c>
      <c r="H97" s="9" t="s">
        <v>34</v>
      </c>
    </row>
    <row r="98" spans="1:8" x14ac:dyDescent="0.3">
      <c r="A98" s="6" t="s">
        <v>18</v>
      </c>
      <c r="B98" s="8">
        <v>1000</v>
      </c>
      <c r="C98" s="7">
        <v>3.96</v>
      </c>
      <c r="D98" s="6" t="s">
        <v>27</v>
      </c>
      <c r="E98" s="2" t="s">
        <v>60</v>
      </c>
      <c r="F98" s="1" t="s">
        <v>57</v>
      </c>
      <c r="G98" s="1">
        <f t="shared" ref="G98:G129" si="3">C98/(B98/1000)</f>
        <v>3.96</v>
      </c>
      <c r="H98" s="9" t="s">
        <v>35</v>
      </c>
    </row>
    <row r="99" spans="1:8" x14ac:dyDescent="0.3">
      <c r="A99" s="6" t="s">
        <v>18</v>
      </c>
      <c r="B99" s="8">
        <v>1250</v>
      </c>
      <c r="C99" s="7">
        <v>2.88</v>
      </c>
      <c r="D99" s="6" t="s">
        <v>27</v>
      </c>
      <c r="E99" s="2" t="s">
        <v>60</v>
      </c>
      <c r="F99" s="1" t="s">
        <v>57</v>
      </c>
      <c r="G99" s="1">
        <f t="shared" si="3"/>
        <v>2.3039999999999998</v>
      </c>
      <c r="H99" s="9" t="s">
        <v>31</v>
      </c>
    </row>
    <row r="100" spans="1:8" x14ac:dyDescent="0.3">
      <c r="A100" s="6" t="s">
        <v>18</v>
      </c>
      <c r="B100" s="8">
        <v>6000</v>
      </c>
      <c r="C100" s="7">
        <v>10.86</v>
      </c>
      <c r="D100" s="6" t="s">
        <v>27</v>
      </c>
      <c r="E100" s="2" t="s">
        <v>60</v>
      </c>
      <c r="F100" s="1" t="s">
        <v>57</v>
      </c>
      <c r="G100" s="1">
        <f t="shared" si="3"/>
        <v>1.8099999999999998</v>
      </c>
      <c r="H100" s="9" t="s">
        <v>33</v>
      </c>
    </row>
    <row r="101" spans="1:8" x14ac:dyDescent="0.3">
      <c r="A101" s="6" t="s">
        <v>10</v>
      </c>
      <c r="B101" s="8">
        <v>600</v>
      </c>
      <c r="C101" s="7">
        <v>0.98</v>
      </c>
      <c r="D101" s="6" t="s">
        <v>27</v>
      </c>
      <c r="E101" s="2" t="s">
        <v>60</v>
      </c>
      <c r="F101" s="1" t="s">
        <v>57</v>
      </c>
      <c r="G101" s="1">
        <f t="shared" si="3"/>
        <v>1.6333333333333333</v>
      </c>
      <c r="H101" s="9" t="s">
        <v>36</v>
      </c>
    </row>
    <row r="102" spans="1:8" x14ac:dyDescent="0.3">
      <c r="A102" s="6" t="s">
        <v>10</v>
      </c>
      <c r="B102" s="8">
        <v>1500</v>
      </c>
      <c r="C102" s="7">
        <v>1.62</v>
      </c>
      <c r="D102" s="6" t="s">
        <v>27</v>
      </c>
      <c r="E102" s="2" t="s">
        <v>60</v>
      </c>
      <c r="F102" s="1" t="s">
        <v>57</v>
      </c>
      <c r="G102" s="1">
        <f t="shared" si="3"/>
        <v>1.08</v>
      </c>
      <c r="H102" s="9" t="s">
        <v>37</v>
      </c>
    </row>
    <row r="103" spans="1:8" x14ac:dyDescent="0.3">
      <c r="A103" s="6" t="s">
        <v>10</v>
      </c>
      <c r="B103" s="8">
        <v>5000</v>
      </c>
      <c r="C103" s="7">
        <v>7.01</v>
      </c>
      <c r="D103" s="6" t="s">
        <v>27</v>
      </c>
      <c r="E103" s="2" t="s">
        <v>60</v>
      </c>
      <c r="F103" s="1" t="s">
        <v>57</v>
      </c>
      <c r="G103" s="1">
        <f t="shared" si="3"/>
        <v>1.4019999999999999</v>
      </c>
      <c r="H103" s="9" t="s">
        <v>38</v>
      </c>
    </row>
    <row r="104" spans="1:8" x14ac:dyDescent="0.3">
      <c r="A104" s="6" t="s">
        <v>7</v>
      </c>
      <c r="B104" s="8">
        <v>500</v>
      </c>
      <c r="C104" s="7">
        <v>0.81</v>
      </c>
      <c r="D104" s="6" t="s">
        <v>27</v>
      </c>
      <c r="E104" s="2" t="s">
        <v>60</v>
      </c>
      <c r="F104" s="1" t="s">
        <v>57</v>
      </c>
      <c r="G104" s="1">
        <f t="shared" si="3"/>
        <v>1.62</v>
      </c>
      <c r="H104" s="9" t="s">
        <v>39</v>
      </c>
    </row>
    <row r="105" spans="1:8" x14ac:dyDescent="0.3">
      <c r="A105" s="6" t="s">
        <v>7</v>
      </c>
      <c r="B105" s="8">
        <v>1500</v>
      </c>
      <c r="C105" s="7">
        <v>1.52</v>
      </c>
      <c r="D105" s="6" t="s">
        <v>27</v>
      </c>
      <c r="E105" s="2" t="s">
        <v>60</v>
      </c>
      <c r="F105" s="1" t="s">
        <v>57</v>
      </c>
      <c r="G105" s="1">
        <f t="shared" si="3"/>
        <v>1.0133333333333334</v>
      </c>
      <c r="H105" s="9" t="s">
        <v>40</v>
      </c>
    </row>
    <row r="106" spans="1:8" x14ac:dyDescent="0.3">
      <c r="A106" s="6" t="s">
        <v>19</v>
      </c>
      <c r="B106" s="8">
        <v>600</v>
      </c>
      <c r="C106" s="7">
        <v>0.83</v>
      </c>
      <c r="D106" s="6" t="s">
        <v>27</v>
      </c>
      <c r="E106" s="2" t="s">
        <v>60</v>
      </c>
      <c r="F106" s="1" t="s">
        <v>57</v>
      </c>
      <c r="G106" s="1">
        <f t="shared" si="3"/>
        <v>1.3833333333333333</v>
      </c>
      <c r="H106" s="9" t="s">
        <v>41</v>
      </c>
    </row>
    <row r="107" spans="1:8" x14ac:dyDescent="0.3">
      <c r="A107" s="6" t="s">
        <v>19</v>
      </c>
      <c r="B107" s="8">
        <v>1500</v>
      </c>
      <c r="C107" s="7">
        <v>1.92</v>
      </c>
      <c r="D107" s="6" t="s">
        <v>27</v>
      </c>
      <c r="E107" s="2" t="s">
        <v>60</v>
      </c>
      <c r="F107" s="1" t="s">
        <v>57</v>
      </c>
      <c r="G107" s="1">
        <f t="shared" si="3"/>
        <v>1.28</v>
      </c>
      <c r="H107" s="9" t="s">
        <v>42</v>
      </c>
    </row>
    <row r="108" spans="1:8" x14ac:dyDescent="0.3">
      <c r="A108" s="6" t="s">
        <v>11</v>
      </c>
      <c r="B108" s="8">
        <v>300</v>
      </c>
      <c r="C108" s="7">
        <v>0.77</v>
      </c>
      <c r="D108" s="6" t="s">
        <v>27</v>
      </c>
      <c r="E108" s="2" t="s">
        <v>60</v>
      </c>
      <c r="F108" s="1" t="s">
        <v>58</v>
      </c>
      <c r="G108" s="1">
        <f t="shared" si="3"/>
        <v>2.5666666666666669</v>
      </c>
      <c r="H108" s="9" t="s">
        <v>43</v>
      </c>
    </row>
    <row r="109" spans="1:8" x14ac:dyDescent="0.3">
      <c r="A109" s="6" t="s">
        <v>11</v>
      </c>
      <c r="B109" s="8">
        <v>1500</v>
      </c>
      <c r="C109" s="7">
        <v>2.06</v>
      </c>
      <c r="D109" s="6" t="s">
        <v>27</v>
      </c>
      <c r="E109" s="2" t="s">
        <v>60</v>
      </c>
      <c r="F109" s="1" t="s">
        <v>58</v>
      </c>
      <c r="G109" s="1">
        <f t="shared" si="3"/>
        <v>1.3733333333333333</v>
      </c>
      <c r="H109" s="9" t="s">
        <v>44</v>
      </c>
    </row>
    <row r="110" spans="1:8" x14ac:dyDescent="0.3">
      <c r="A110" s="6" t="s">
        <v>11</v>
      </c>
      <c r="B110" s="8">
        <v>6000</v>
      </c>
      <c r="C110" s="7">
        <v>8.17</v>
      </c>
      <c r="D110" s="6" t="s">
        <v>27</v>
      </c>
      <c r="E110" s="2" t="s">
        <v>60</v>
      </c>
      <c r="F110" s="1" t="s">
        <v>58</v>
      </c>
      <c r="G110" s="1">
        <f t="shared" si="3"/>
        <v>1.3616666666666666</v>
      </c>
      <c r="H110" s="9" t="s">
        <v>45</v>
      </c>
    </row>
    <row r="111" spans="1:8" x14ac:dyDescent="0.3">
      <c r="A111" s="6" t="s">
        <v>20</v>
      </c>
      <c r="B111" s="8">
        <v>500</v>
      </c>
      <c r="C111" s="7">
        <v>8.49</v>
      </c>
      <c r="D111" s="6" t="s">
        <v>27</v>
      </c>
      <c r="E111" s="2" t="s">
        <v>60</v>
      </c>
      <c r="F111" s="1" t="s">
        <v>58</v>
      </c>
      <c r="G111" s="1">
        <f t="shared" si="3"/>
        <v>16.98</v>
      </c>
      <c r="H111" s="9" t="s">
        <v>46</v>
      </c>
    </row>
    <row r="112" spans="1:8" x14ac:dyDescent="0.3">
      <c r="A112" s="6" t="s">
        <v>20</v>
      </c>
      <c r="B112" s="8">
        <v>1000</v>
      </c>
      <c r="C112" s="7">
        <v>13.18</v>
      </c>
      <c r="D112" s="6" t="s">
        <v>27</v>
      </c>
      <c r="E112" s="2" t="s">
        <v>60</v>
      </c>
      <c r="F112" s="1" t="s">
        <v>58</v>
      </c>
      <c r="G112" s="1">
        <f t="shared" si="3"/>
        <v>13.18</v>
      </c>
      <c r="H112" s="9" t="s">
        <v>47</v>
      </c>
    </row>
    <row r="113" spans="1:8" x14ac:dyDescent="0.3">
      <c r="A113" s="6" t="s">
        <v>21</v>
      </c>
      <c r="B113" s="8">
        <v>500</v>
      </c>
      <c r="C113" s="7">
        <v>5.51</v>
      </c>
      <c r="D113" s="6" t="s">
        <v>27</v>
      </c>
      <c r="E113" s="2" t="s">
        <v>60</v>
      </c>
      <c r="F113" s="1" t="s">
        <v>58</v>
      </c>
      <c r="G113" s="1">
        <f t="shared" si="3"/>
        <v>11.02</v>
      </c>
      <c r="H113" s="9" t="s">
        <v>48</v>
      </c>
    </row>
    <row r="114" spans="1:8" x14ac:dyDescent="0.3">
      <c r="A114" s="6" t="s">
        <v>21</v>
      </c>
      <c r="B114" s="8">
        <v>1500</v>
      </c>
      <c r="C114" s="7">
        <v>10.66</v>
      </c>
      <c r="D114" s="6" t="s">
        <v>27</v>
      </c>
      <c r="E114" s="2" t="s">
        <v>60</v>
      </c>
      <c r="F114" s="1" t="s">
        <v>58</v>
      </c>
      <c r="G114" s="1">
        <f t="shared" si="3"/>
        <v>7.1066666666666665</v>
      </c>
      <c r="H114" s="9" t="s">
        <v>49</v>
      </c>
    </row>
    <row r="115" spans="1:8" x14ac:dyDescent="0.3">
      <c r="A115" s="6" t="s">
        <v>22</v>
      </c>
      <c r="B115" s="8">
        <v>330</v>
      </c>
      <c r="C115" s="7">
        <v>5.4</v>
      </c>
      <c r="D115" s="6" t="s">
        <v>27</v>
      </c>
      <c r="E115" s="2" t="s">
        <v>60</v>
      </c>
      <c r="F115" s="1" t="s">
        <v>58</v>
      </c>
      <c r="G115" s="1">
        <f t="shared" si="3"/>
        <v>16.363636363636363</v>
      </c>
      <c r="H115" s="9" t="s">
        <v>50</v>
      </c>
    </row>
    <row r="116" spans="1:8" x14ac:dyDescent="0.3">
      <c r="A116" s="6" t="s">
        <v>22</v>
      </c>
      <c r="B116" s="8">
        <v>750</v>
      </c>
      <c r="C116" s="7">
        <v>11.09</v>
      </c>
      <c r="D116" s="6" t="s">
        <v>27</v>
      </c>
      <c r="E116" s="2" t="s">
        <v>60</v>
      </c>
      <c r="F116" s="1" t="s">
        <v>58</v>
      </c>
      <c r="G116" s="1">
        <f t="shared" si="3"/>
        <v>14.786666666666667</v>
      </c>
      <c r="H116" s="9" t="s">
        <v>51</v>
      </c>
    </row>
    <row r="117" spans="1:8" x14ac:dyDescent="0.3">
      <c r="A117" s="6" t="s">
        <v>23</v>
      </c>
      <c r="B117" s="8">
        <v>330</v>
      </c>
      <c r="C117" s="7">
        <v>8.39</v>
      </c>
      <c r="D117" s="6" t="s">
        <v>27</v>
      </c>
      <c r="E117" s="2" t="s">
        <v>60</v>
      </c>
      <c r="F117" s="1" t="s">
        <v>58</v>
      </c>
      <c r="G117" s="1">
        <f t="shared" si="3"/>
        <v>25.424242424242426</v>
      </c>
      <c r="H117" s="9" t="s">
        <v>52</v>
      </c>
    </row>
    <row r="118" spans="1:8" x14ac:dyDescent="0.3">
      <c r="A118" s="6" t="s">
        <v>23</v>
      </c>
      <c r="B118" s="8">
        <v>750</v>
      </c>
      <c r="C118" s="7">
        <v>11.32</v>
      </c>
      <c r="D118" s="6" t="s">
        <v>27</v>
      </c>
      <c r="E118" s="2" t="s">
        <v>60</v>
      </c>
      <c r="F118" s="1" t="s">
        <v>58</v>
      </c>
      <c r="G118" s="1">
        <f t="shared" si="3"/>
        <v>15.093333333333334</v>
      </c>
      <c r="H118" s="9" t="s">
        <v>53</v>
      </c>
    </row>
    <row r="119" spans="1:8" x14ac:dyDescent="0.3">
      <c r="A119" s="6" t="s">
        <v>24</v>
      </c>
      <c r="B119" s="8">
        <v>750</v>
      </c>
      <c r="C119" s="7">
        <v>11.55</v>
      </c>
      <c r="D119" s="6" t="s">
        <v>27</v>
      </c>
      <c r="E119" s="2" t="s">
        <v>60</v>
      </c>
      <c r="F119" s="1" t="s">
        <v>58</v>
      </c>
      <c r="G119" s="1">
        <f t="shared" si="3"/>
        <v>15.4</v>
      </c>
      <c r="H119" s="9" t="s">
        <v>54</v>
      </c>
    </row>
    <row r="120" spans="1:8" x14ac:dyDescent="0.3">
      <c r="A120" s="6" t="s">
        <v>24</v>
      </c>
      <c r="B120" s="8">
        <v>1000</v>
      </c>
      <c r="C120" s="7">
        <v>12.08</v>
      </c>
      <c r="D120" s="6" t="s">
        <v>27</v>
      </c>
      <c r="E120" s="2" t="s">
        <v>60</v>
      </c>
      <c r="F120" s="1" t="s">
        <v>58</v>
      </c>
      <c r="G120" s="1">
        <f t="shared" si="3"/>
        <v>12.08</v>
      </c>
      <c r="H120" s="9" t="s">
        <v>55</v>
      </c>
    </row>
    <row r="121" spans="1:8" x14ac:dyDescent="0.3">
      <c r="A121" s="6" t="s">
        <v>25</v>
      </c>
      <c r="B121" s="8">
        <v>1000</v>
      </c>
      <c r="C121" s="7">
        <v>11.88</v>
      </c>
      <c r="D121" s="6" t="s">
        <v>27</v>
      </c>
      <c r="E121" s="2" t="s">
        <v>60</v>
      </c>
      <c r="F121" s="1" t="s">
        <v>58</v>
      </c>
      <c r="G121" s="1">
        <f t="shared" si="3"/>
        <v>11.88</v>
      </c>
      <c r="H121" s="9" t="s">
        <v>56</v>
      </c>
    </row>
    <row r="122" spans="1:8" x14ac:dyDescent="0.3">
      <c r="A122" s="6" t="s">
        <v>18</v>
      </c>
      <c r="B122" s="8">
        <v>550</v>
      </c>
      <c r="C122" s="7">
        <v>1.5</v>
      </c>
      <c r="D122" s="6" t="s">
        <v>28</v>
      </c>
      <c r="E122" t="s">
        <v>61</v>
      </c>
      <c r="F122" s="1" t="s">
        <v>58</v>
      </c>
      <c r="G122" s="1">
        <f t="shared" si="3"/>
        <v>2.7272727272727271</v>
      </c>
      <c r="H122" s="9" t="s">
        <v>29</v>
      </c>
    </row>
    <row r="123" spans="1:8" x14ac:dyDescent="0.3">
      <c r="A123" s="6" t="s">
        <v>18</v>
      </c>
      <c r="B123" s="8">
        <v>750</v>
      </c>
      <c r="C123" s="7">
        <v>2.2400000000000002</v>
      </c>
      <c r="D123" s="6" t="s">
        <v>28</v>
      </c>
      <c r="E123" s="9" t="s">
        <v>61</v>
      </c>
      <c r="F123" s="1" t="s">
        <v>58</v>
      </c>
      <c r="G123" s="1">
        <f t="shared" si="3"/>
        <v>2.9866666666666668</v>
      </c>
      <c r="H123" s="9" t="s">
        <v>30</v>
      </c>
    </row>
    <row r="124" spans="1:8" x14ac:dyDescent="0.3">
      <c r="A124" s="6" t="s">
        <v>18</v>
      </c>
      <c r="B124" s="8">
        <v>1250</v>
      </c>
      <c r="C124" s="7">
        <v>2.82</v>
      </c>
      <c r="D124" s="6" t="s">
        <v>28</v>
      </c>
      <c r="E124" s="9" t="s">
        <v>61</v>
      </c>
      <c r="F124" s="1" t="s">
        <v>58</v>
      </c>
      <c r="G124" s="1">
        <f t="shared" si="3"/>
        <v>2.2559999999999998</v>
      </c>
      <c r="H124" s="9" t="s">
        <v>31</v>
      </c>
    </row>
    <row r="125" spans="1:8" x14ac:dyDescent="0.3">
      <c r="A125" s="6" t="s">
        <v>18</v>
      </c>
      <c r="B125" s="8">
        <v>1500</v>
      </c>
      <c r="C125" s="7">
        <v>2.99</v>
      </c>
      <c r="D125" s="6" t="s">
        <v>28</v>
      </c>
      <c r="E125" s="9" t="s">
        <v>61</v>
      </c>
      <c r="F125" s="1" t="s">
        <v>58</v>
      </c>
      <c r="G125" s="1">
        <f t="shared" si="3"/>
        <v>1.9933333333333334</v>
      </c>
      <c r="H125" s="9" t="s">
        <v>32</v>
      </c>
    </row>
    <row r="126" spans="1:8" x14ac:dyDescent="0.3">
      <c r="A126" s="6" t="s">
        <v>18</v>
      </c>
      <c r="B126" s="8">
        <v>6000</v>
      </c>
      <c r="C126" s="7">
        <v>8.9499999999999993</v>
      </c>
      <c r="D126" s="6" t="s">
        <v>28</v>
      </c>
      <c r="E126" s="9" t="s">
        <v>61</v>
      </c>
      <c r="F126" s="1" t="s">
        <v>58</v>
      </c>
      <c r="G126" s="1">
        <f t="shared" si="3"/>
        <v>1.4916666666666665</v>
      </c>
      <c r="H126" s="9" t="s">
        <v>33</v>
      </c>
    </row>
    <row r="127" spans="1:8" x14ac:dyDescent="0.3">
      <c r="A127" s="6" t="s">
        <v>18</v>
      </c>
      <c r="B127" s="8">
        <v>400</v>
      </c>
      <c r="C127" s="7">
        <v>1.93</v>
      </c>
      <c r="D127" s="6" t="s">
        <v>28</v>
      </c>
      <c r="E127" s="9" t="s">
        <v>61</v>
      </c>
      <c r="F127" s="1" t="s">
        <v>58</v>
      </c>
      <c r="G127" s="1">
        <f t="shared" si="3"/>
        <v>4.8249999999999993</v>
      </c>
      <c r="H127" s="9" t="s">
        <v>34</v>
      </c>
    </row>
    <row r="128" spans="1:8" x14ac:dyDescent="0.3">
      <c r="A128" s="6" t="s">
        <v>18</v>
      </c>
      <c r="B128" s="8">
        <v>1000</v>
      </c>
      <c r="C128" s="7">
        <v>3.88</v>
      </c>
      <c r="D128" s="6" t="s">
        <v>28</v>
      </c>
      <c r="E128" s="9" t="s">
        <v>61</v>
      </c>
      <c r="F128" s="1" t="s">
        <v>58</v>
      </c>
      <c r="G128" s="1">
        <f t="shared" si="3"/>
        <v>3.88</v>
      </c>
      <c r="H128" s="9" t="s">
        <v>35</v>
      </c>
    </row>
    <row r="129" spans="1:8" x14ac:dyDescent="0.3">
      <c r="A129" s="6" t="s">
        <v>18</v>
      </c>
      <c r="B129" s="8">
        <v>1250</v>
      </c>
      <c r="C129" s="7">
        <v>2.6</v>
      </c>
      <c r="D129" s="6" t="s">
        <v>28</v>
      </c>
      <c r="E129" s="9" t="s">
        <v>61</v>
      </c>
      <c r="F129" s="1" t="s">
        <v>58</v>
      </c>
      <c r="G129" s="1">
        <f t="shared" si="3"/>
        <v>2.08</v>
      </c>
      <c r="H129" s="9" t="s">
        <v>31</v>
      </c>
    </row>
    <row r="130" spans="1:8" x14ac:dyDescent="0.3">
      <c r="A130" s="6" t="s">
        <v>18</v>
      </c>
      <c r="B130" s="8">
        <v>6000</v>
      </c>
      <c r="C130" s="7">
        <v>9.91</v>
      </c>
      <c r="D130" s="6" t="s">
        <v>28</v>
      </c>
      <c r="E130" s="9" t="s">
        <v>61</v>
      </c>
      <c r="F130" s="1" t="s">
        <v>58</v>
      </c>
      <c r="G130" s="1">
        <f t="shared" ref="G130:G151" si="4">C130/(B130/1000)</f>
        <v>1.6516666666666666</v>
      </c>
      <c r="H130" s="9" t="s">
        <v>33</v>
      </c>
    </row>
    <row r="131" spans="1:8" x14ac:dyDescent="0.3">
      <c r="A131" s="6" t="s">
        <v>10</v>
      </c>
      <c r="B131" s="8">
        <v>600</v>
      </c>
      <c r="C131" s="7">
        <v>0.84</v>
      </c>
      <c r="D131" s="6" t="s">
        <v>28</v>
      </c>
      <c r="E131" s="9" t="s">
        <v>61</v>
      </c>
      <c r="F131" s="1" t="s">
        <v>58</v>
      </c>
      <c r="G131" s="1">
        <f t="shared" si="4"/>
        <v>1.4</v>
      </c>
      <c r="H131" s="9" t="s">
        <v>36</v>
      </c>
    </row>
    <row r="132" spans="1:8" x14ac:dyDescent="0.3">
      <c r="A132" s="6" t="s">
        <v>10</v>
      </c>
      <c r="B132" s="8">
        <v>1500</v>
      </c>
      <c r="C132" s="7">
        <v>1.51</v>
      </c>
      <c r="D132" s="6" t="s">
        <v>28</v>
      </c>
      <c r="E132" s="9" t="s">
        <v>61</v>
      </c>
      <c r="F132" s="1" t="s">
        <v>58</v>
      </c>
      <c r="G132" s="1">
        <f t="shared" si="4"/>
        <v>1.0066666666666666</v>
      </c>
      <c r="H132" s="9" t="s">
        <v>37</v>
      </c>
    </row>
    <row r="133" spans="1:8" x14ac:dyDescent="0.3">
      <c r="A133" s="6" t="s">
        <v>10</v>
      </c>
      <c r="B133" s="8">
        <v>5000</v>
      </c>
      <c r="C133" s="7">
        <v>6.04</v>
      </c>
      <c r="D133" s="6" t="s">
        <v>28</v>
      </c>
      <c r="E133" s="9" t="s">
        <v>61</v>
      </c>
      <c r="F133" s="1" t="s">
        <v>58</v>
      </c>
      <c r="G133" s="1">
        <f t="shared" si="4"/>
        <v>1.208</v>
      </c>
      <c r="H133" s="9" t="s">
        <v>38</v>
      </c>
    </row>
    <row r="134" spans="1:8" x14ac:dyDescent="0.3">
      <c r="A134" s="6" t="s">
        <v>7</v>
      </c>
      <c r="B134" s="8">
        <v>500</v>
      </c>
      <c r="C134" s="7">
        <v>0.76</v>
      </c>
      <c r="D134" s="6" t="s">
        <v>28</v>
      </c>
      <c r="E134" s="9" t="s">
        <v>61</v>
      </c>
      <c r="F134" s="1" t="s">
        <v>58</v>
      </c>
      <c r="G134" s="1">
        <f t="shared" si="4"/>
        <v>1.52</v>
      </c>
      <c r="H134" s="9" t="s">
        <v>39</v>
      </c>
    </row>
    <row r="135" spans="1:8" x14ac:dyDescent="0.3">
      <c r="A135" s="6" t="s">
        <v>7</v>
      </c>
      <c r="B135" s="8">
        <v>1500</v>
      </c>
      <c r="C135" s="7">
        <v>1.41</v>
      </c>
      <c r="D135" s="6" t="s">
        <v>28</v>
      </c>
      <c r="E135" s="9" t="s">
        <v>61</v>
      </c>
      <c r="F135" s="1" t="s">
        <v>58</v>
      </c>
      <c r="G135" s="1">
        <f t="shared" si="4"/>
        <v>0.94</v>
      </c>
      <c r="H135" s="9" t="s">
        <v>40</v>
      </c>
    </row>
    <row r="136" spans="1:8" x14ac:dyDescent="0.3">
      <c r="A136" s="6" t="s">
        <v>19</v>
      </c>
      <c r="B136" s="8">
        <v>600</v>
      </c>
      <c r="C136" s="7">
        <v>0.77</v>
      </c>
      <c r="D136" s="6" t="s">
        <v>28</v>
      </c>
      <c r="E136" s="9" t="s">
        <v>61</v>
      </c>
      <c r="F136" s="1" t="s">
        <v>58</v>
      </c>
      <c r="G136" s="1">
        <f t="shared" si="4"/>
        <v>1.2833333333333334</v>
      </c>
      <c r="H136" s="9" t="s">
        <v>41</v>
      </c>
    </row>
    <row r="137" spans="1:8" x14ac:dyDescent="0.3">
      <c r="A137" s="6" t="s">
        <v>19</v>
      </c>
      <c r="B137" s="8">
        <v>1500</v>
      </c>
      <c r="C137" s="7">
        <v>1.69</v>
      </c>
      <c r="D137" s="6" t="s">
        <v>28</v>
      </c>
      <c r="E137" s="9" t="s">
        <v>61</v>
      </c>
      <c r="F137" s="1" t="s">
        <v>58</v>
      </c>
      <c r="G137" s="1">
        <f t="shared" si="4"/>
        <v>1.1266666666666667</v>
      </c>
      <c r="H137" s="9" t="s">
        <v>42</v>
      </c>
    </row>
    <row r="138" spans="1:8" x14ac:dyDescent="0.3">
      <c r="A138" s="6" t="s">
        <v>11</v>
      </c>
      <c r="B138" s="8">
        <v>300</v>
      </c>
      <c r="C138" s="7">
        <v>0.66</v>
      </c>
      <c r="D138" s="6" t="s">
        <v>28</v>
      </c>
      <c r="E138" s="9" t="s">
        <v>61</v>
      </c>
      <c r="F138" s="1" t="s">
        <v>58</v>
      </c>
      <c r="G138" s="1">
        <f t="shared" si="4"/>
        <v>2.2000000000000002</v>
      </c>
      <c r="H138" s="9" t="s">
        <v>43</v>
      </c>
    </row>
    <row r="139" spans="1:8" x14ac:dyDescent="0.3">
      <c r="A139" s="6" t="s">
        <v>11</v>
      </c>
      <c r="B139" s="8">
        <v>1500</v>
      </c>
      <c r="C139" s="7">
        <v>1.91</v>
      </c>
      <c r="D139" s="6" t="s">
        <v>28</v>
      </c>
      <c r="E139" s="9" t="s">
        <v>61</v>
      </c>
      <c r="F139" s="1" t="s">
        <v>58</v>
      </c>
      <c r="G139" s="1">
        <f t="shared" si="4"/>
        <v>1.2733333333333332</v>
      </c>
      <c r="H139" s="9" t="s">
        <v>44</v>
      </c>
    </row>
    <row r="140" spans="1:8" x14ac:dyDescent="0.3">
      <c r="A140" s="6" t="s">
        <v>11</v>
      </c>
      <c r="B140" s="8">
        <v>6000</v>
      </c>
      <c r="C140" s="7">
        <v>7.4</v>
      </c>
      <c r="D140" s="6" t="s">
        <v>28</v>
      </c>
      <c r="E140" s="9" t="s">
        <v>61</v>
      </c>
      <c r="F140" s="1" t="s">
        <v>58</v>
      </c>
      <c r="G140" s="1">
        <f t="shared" si="4"/>
        <v>1.2333333333333334</v>
      </c>
      <c r="H140" s="9" t="s">
        <v>45</v>
      </c>
    </row>
    <row r="141" spans="1:8" x14ac:dyDescent="0.3">
      <c r="A141" s="6" t="s">
        <v>20</v>
      </c>
      <c r="B141" s="8">
        <v>500</v>
      </c>
      <c r="C141" s="7">
        <v>7.65</v>
      </c>
      <c r="D141" s="6" t="s">
        <v>28</v>
      </c>
      <c r="E141" s="9" t="s">
        <v>61</v>
      </c>
      <c r="F141" s="1" t="s">
        <v>58</v>
      </c>
      <c r="G141" s="1">
        <f t="shared" si="4"/>
        <v>15.3</v>
      </c>
      <c r="H141" s="9" t="s">
        <v>46</v>
      </c>
    </row>
    <row r="142" spans="1:8" x14ac:dyDescent="0.3">
      <c r="A142" s="6" t="s">
        <v>20</v>
      </c>
      <c r="B142" s="8">
        <v>1000</v>
      </c>
      <c r="C142" s="7">
        <v>11.76</v>
      </c>
      <c r="D142" s="6" t="s">
        <v>28</v>
      </c>
      <c r="E142" s="9" t="s">
        <v>61</v>
      </c>
      <c r="F142" s="1" t="s">
        <v>58</v>
      </c>
      <c r="G142" s="1">
        <f t="shared" si="4"/>
        <v>11.76</v>
      </c>
      <c r="H142" s="9" t="s">
        <v>47</v>
      </c>
    </row>
    <row r="143" spans="1:8" x14ac:dyDescent="0.3">
      <c r="A143" s="6" t="s">
        <v>21</v>
      </c>
      <c r="B143" s="8">
        <v>500</v>
      </c>
      <c r="C143" s="7">
        <v>4.8</v>
      </c>
      <c r="D143" s="6" t="s">
        <v>28</v>
      </c>
      <c r="E143" s="9" t="s">
        <v>61</v>
      </c>
      <c r="F143" s="1" t="s">
        <v>58</v>
      </c>
      <c r="G143" s="1">
        <f t="shared" si="4"/>
        <v>9.6</v>
      </c>
      <c r="H143" s="9" t="s">
        <v>48</v>
      </c>
    </row>
    <row r="144" spans="1:8" x14ac:dyDescent="0.3">
      <c r="A144" s="6" t="s">
        <v>21</v>
      </c>
      <c r="B144" s="8">
        <v>1500</v>
      </c>
      <c r="C144" s="7">
        <v>10.050000000000001</v>
      </c>
      <c r="D144" s="6" t="s">
        <v>28</v>
      </c>
      <c r="E144" s="9" t="s">
        <v>61</v>
      </c>
      <c r="F144" s="1" t="s">
        <v>58</v>
      </c>
      <c r="G144" s="1">
        <f t="shared" si="4"/>
        <v>6.7</v>
      </c>
      <c r="H144" s="9" t="s">
        <v>49</v>
      </c>
    </row>
    <row r="145" spans="1:8" x14ac:dyDescent="0.3">
      <c r="A145" s="6" t="s">
        <v>22</v>
      </c>
      <c r="B145" s="8">
        <v>330</v>
      </c>
      <c r="C145" s="7">
        <v>5.17</v>
      </c>
      <c r="D145" s="6" t="s">
        <v>28</v>
      </c>
      <c r="E145" s="9" t="s">
        <v>61</v>
      </c>
      <c r="F145" s="1" t="s">
        <v>58</v>
      </c>
      <c r="G145" s="1">
        <f t="shared" si="4"/>
        <v>15.666666666666666</v>
      </c>
      <c r="H145" s="9" t="s">
        <v>50</v>
      </c>
    </row>
    <row r="146" spans="1:8" x14ac:dyDescent="0.3">
      <c r="A146" s="6" t="s">
        <v>22</v>
      </c>
      <c r="B146" s="8">
        <v>750</v>
      </c>
      <c r="C146" s="7">
        <v>10.14</v>
      </c>
      <c r="D146" s="6" t="s">
        <v>28</v>
      </c>
      <c r="E146" s="9" t="s">
        <v>61</v>
      </c>
      <c r="F146" s="1" t="s">
        <v>58</v>
      </c>
      <c r="G146" s="1">
        <f t="shared" si="4"/>
        <v>13.520000000000001</v>
      </c>
      <c r="H146" s="9" t="s">
        <v>51</v>
      </c>
    </row>
    <row r="147" spans="1:8" x14ac:dyDescent="0.3">
      <c r="A147" s="6" t="s">
        <v>23</v>
      </c>
      <c r="B147" s="8">
        <v>330</v>
      </c>
      <c r="C147" s="7">
        <v>8.1300000000000008</v>
      </c>
      <c r="D147" s="6" t="s">
        <v>28</v>
      </c>
      <c r="E147" s="9" t="s">
        <v>61</v>
      </c>
      <c r="F147" s="1" t="s">
        <v>58</v>
      </c>
      <c r="G147" s="1">
        <f t="shared" si="4"/>
        <v>24.636363636363637</v>
      </c>
      <c r="H147" s="9" t="s">
        <v>52</v>
      </c>
    </row>
    <row r="148" spans="1:8" x14ac:dyDescent="0.3">
      <c r="A148" s="6" t="s">
        <v>23</v>
      </c>
      <c r="B148" s="8">
        <v>750</v>
      </c>
      <c r="C148" s="7">
        <v>10.65</v>
      </c>
      <c r="D148" s="6" t="s">
        <v>28</v>
      </c>
      <c r="E148" s="9" t="s">
        <v>61</v>
      </c>
      <c r="F148" s="1" t="s">
        <v>58</v>
      </c>
      <c r="G148" s="1">
        <f t="shared" si="4"/>
        <v>14.200000000000001</v>
      </c>
      <c r="H148" s="9" t="s">
        <v>53</v>
      </c>
    </row>
    <row r="149" spans="1:8" x14ac:dyDescent="0.3">
      <c r="A149" s="6" t="s">
        <v>24</v>
      </c>
      <c r="B149" s="8">
        <v>750</v>
      </c>
      <c r="C149" s="7">
        <v>10.48</v>
      </c>
      <c r="D149" s="6" t="s">
        <v>28</v>
      </c>
      <c r="E149" s="9" t="s">
        <v>61</v>
      </c>
      <c r="F149" s="1" t="s">
        <v>58</v>
      </c>
      <c r="G149" s="1">
        <f t="shared" si="4"/>
        <v>13.973333333333334</v>
      </c>
      <c r="H149" s="9" t="s">
        <v>54</v>
      </c>
    </row>
    <row r="150" spans="1:8" x14ac:dyDescent="0.3">
      <c r="A150" s="6" t="s">
        <v>24</v>
      </c>
      <c r="B150" s="8">
        <v>1000</v>
      </c>
      <c r="C150" s="7">
        <v>10.41</v>
      </c>
      <c r="D150" s="6" t="s">
        <v>28</v>
      </c>
      <c r="E150" s="9" t="s">
        <v>61</v>
      </c>
      <c r="F150" s="1" t="s">
        <v>58</v>
      </c>
      <c r="G150" s="1">
        <f t="shared" si="4"/>
        <v>10.41</v>
      </c>
      <c r="H150" s="9" t="s">
        <v>55</v>
      </c>
    </row>
    <row r="151" spans="1:8" x14ac:dyDescent="0.3">
      <c r="A151" s="6" t="s">
        <v>25</v>
      </c>
      <c r="B151" s="8">
        <v>1000</v>
      </c>
      <c r="C151" s="7">
        <v>11.12</v>
      </c>
      <c r="D151" s="6" t="s">
        <v>28</v>
      </c>
      <c r="E151" s="9" t="s">
        <v>61</v>
      </c>
      <c r="F151" s="1" t="s">
        <v>58</v>
      </c>
      <c r="G151" s="1">
        <f t="shared" si="4"/>
        <v>11.12</v>
      </c>
      <c r="H151" s="9" t="s">
        <v>56</v>
      </c>
    </row>
  </sheetData>
  <phoneticPr fontId="3" type="noConversion"/>
  <hyperlinks>
    <hyperlink ref="E3" r:id="rId1" xr:uid="{C19F5E5A-F12F-437A-BE62-C6C5811C64FC}"/>
    <hyperlink ref="E4" r:id="rId2" xr:uid="{729FF23F-3467-406C-9BF4-B2A57B547898}"/>
    <hyperlink ref="E5" r:id="rId3" xr:uid="{F7F0A1BA-11FA-4DDB-A816-34FAC982C5F4}"/>
    <hyperlink ref="E6" r:id="rId4" xr:uid="{FA347C3F-0273-4B42-9563-3E064917633E}"/>
    <hyperlink ref="E7" r:id="rId5" xr:uid="{A1E043CF-9C7B-49E7-8CBE-1D16DC5BF380}"/>
    <hyperlink ref="E8" r:id="rId6" xr:uid="{E57E6DDF-06F5-4372-A9F3-5156F2F00901}"/>
    <hyperlink ref="E9" r:id="rId7" xr:uid="{F5508A87-422A-4D33-99A2-17D6127528C1}"/>
    <hyperlink ref="E10" r:id="rId8" xr:uid="{F45480C9-C0F1-47BF-98CA-7C82F55D9B8A}"/>
    <hyperlink ref="E11" r:id="rId9" xr:uid="{6ACE3B83-5609-4BED-B709-EB1F7F2EEAE2}"/>
    <hyperlink ref="E2" r:id="rId10" xr:uid="{6237EBD3-A4C1-4E0E-866C-638AA635B1CC}"/>
    <hyperlink ref="E32:E61" r:id="rId11" display="https://www.servayonline.com/beverages?direction=asc&amp;page=28&amp;sort=Products.oos" xr:uid="{98DEDAA9-CC1C-4624-A051-5C1C55BD9B5F}"/>
    <hyperlink ref="E12:E31" r:id="rId12" display="https://jayagrocer.com/collections/water?page=1" xr:uid="{2D2CBFC4-445C-4E37-9F2C-619DBCD955C1}"/>
    <hyperlink ref="E62" r:id="rId13" xr:uid="{648295AC-5EB3-4864-8D3A-FED895EE4B67}"/>
    <hyperlink ref="E63:E91" r:id="rId14" display="https://www.lotuss.com.my/category/beverages/water" xr:uid="{4C08B611-0843-4F12-8C85-5C69C1D161CB}"/>
    <hyperlink ref="E92" r:id="rId15" xr:uid="{63F67345-6DC6-4BF3-AC8E-6D1B73A9ACF3}"/>
    <hyperlink ref="E93:E121" r:id="rId16" display="https://myaeon2go.com/products/category/1403828/water" xr:uid="{CD641F9E-BE40-454E-8C4D-E78539CDAA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847D-A287-4687-9A04-78433FE040C4}">
  <dimension ref="A1:X151"/>
  <sheetViews>
    <sheetView tabSelected="1" topLeftCell="D1" zoomScaleNormal="100" workbookViewId="0">
      <selection activeCell="J25" sqref="J25"/>
    </sheetView>
  </sheetViews>
  <sheetFormatPr defaultRowHeight="14.4" x14ac:dyDescent="0.3"/>
  <cols>
    <col min="1" max="1" width="16.33203125" style="14" bestFit="1" customWidth="1"/>
    <col min="2" max="2" width="17.44140625" style="14" bestFit="1" customWidth="1"/>
    <col min="3" max="3" width="8.88671875" style="14"/>
    <col min="4" max="4" width="17.44140625" style="15" bestFit="1" customWidth="1"/>
    <col min="5" max="5" width="13.5546875" style="18" bestFit="1" customWidth="1"/>
    <col min="6" max="6" width="9.33203125" style="15" bestFit="1" customWidth="1"/>
    <col min="7" max="7" width="17.5546875" style="14" bestFit="1" customWidth="1"/>
    <col min="8" max="8" width="16.88671875" style="14" bestFit="1" customWidth="1"/>
    <col min="9" max="9" width="17.5546875" style="14" bestFit="1" customWidth="1"/>
    <col min="10" max="13" width="8.88671875" style="14"/>
    <col min="14" max="15" width="11.5546875" style="18" bestFit="1" customWidth="1"/>
    <col min="16" max="16" width="32" style="18" bestFit="1" customWidth="1"/>
    <col min="17" max="17" width="11.6640625" style="14" bestFit="1" customWidth="1"/>
    <col min="18" max="18" width="8.88671875" style="14"/>
    <col min="19" max="19" width="32" style="14" bestFit="1" customWidth="1"/>
    <col min="20" max="20" width="18" style="14" bestFit="1" customWidth="1"/>
    <col min="21" max="21" width="17.5546875" style="14" bestFit="1" customWidth="1"/>
    <col min="22" max="23" width="8.88671875" style="14"/>
    <col min="24" max="24" width="10.77734375" style="14" bestFit="1" customWidth="1"/>
    <col min="25" max="16384" width="8.88671875" style="14"/>
  </cols>
  <sheetData>
    <row r="1" spans="1:24" x14ac:dyDescent="0.3">
      <c r="A1" s="23"/>
      <c r="B1" s="23"/>
      <c r="D1" s="22"/>
      <c r="E1" s="12" t="s">
        <v>1</v>
      </c>
      <c r="F1" s="12" t="s">
        <v>2</v>
      </c>
      <c r="G1" s="12" t="s">
        <v>16</v>
      </c>
      <c r="H1" s="23"/>
      <c r="I1" s="23"/>
      <c r="N1" s="13" t="s">
        <v>66</v>
      </c>
      <c r="O1" s="13" t="s">
        <v>65</v>
      </c>
      <c r="P1" s="13" t="s">
        <v>0</v>
      </c>
      <c r="Q1" s="26" t="s">
        <v>67</v>
      </c>
      <c r="R1" s="27" t="s">
        <v>68</v>
      </c>
      <c r="S1" s="24"/>
      <c r="T1" s="28" t="s">
        <v>8</v>
      </c>
      <c r="U1" s="28" t="s">
        <v>5</v>
      </c>
      <c r="V1" s="28" t="s">
        <v>26</v>
      </c>
      <c r="W1" s="28" t="s">
        <v>27</v>
      </c>
      <c r="X1" s="28" t="s">
        <v>28</v>
      </c>
    </row>
    <row r="2" spans="1:24" x14ac:dyDescent="0.3">
      <c r="D2" s="22"/>
      <c r="E2" s="16">
        <v>330</v>
      </c>
      <c r="F2" s="17">
        <v>8.76</v>
      </c>
      <c r="G2" s="14">
        <f t="shared" ref="G2:G33" si="0">F2/(E2/1000)</f>
        <v>26.545454545454543</v>
      </c>
      <c r="H2" s="23"/>
      <c r="I2" s="23"/>
      <c r="N2" s="21">
        <v>26.54</v>
      </c>
      <c r="O2" s="20">
        <v>330</v>
      </c>
      <c r="P2" s="19" t="s">
        <v>52</v>
      </c>
      <c r="Q2" s="21">
        <v>0.94</v>
      </c>
      <c r="R2" s="21">
        <v>26.54</v>
      </c>
      <c r="S2" s="9"/>
      <c r="T2" s="15" cm="1">
        <f t="array" ref="T2:T31">_xlfn._xlws.FILTER('data collection'!$G$2:$G$151,'data collection'!$D$2:$D$151=T$1,"")</f>
        <v>2.8</v>
      </c>
      <c r="U2" s="14" cm="1">
        <f t="array" ref="U2:U31">_xlfn._xlws.FILTER('data collection'!$G$2:$G$151,'data collection'!$D$2:$D$151=U$1,"")</f>
        <v>2.7636363636363632</v>
      </c>
      <c r="V2" s="14" cm="1">
        <f t="array" ref="V2:V31">_xlfn._xlws.FILTER('data collection'!$G$2:$G$151,'data collection'!$D$2:$D$151=V$1,"")</f>
        <v>2.9818181818181815</v>
      </c>
      <c r="W2" s="14" cm="1">
        <f t="array" ref="W2:W31">_xlfn._xlws.FILTER('data collection'!$G$2:$G$151,'data collection'!$D$2:$D$151=W$1,"")</f>
        <v>2.7636363636363632</v>
      </c>
      <c r="X2" s="14" cm="1">
        <f t="array" ref="X2:X31">_xlfn._xlws.FILTER('data collection'!$G$2:$G$151,'data collection'!$D$2:$D$151=X$1,"")</f>
        <v>2.7272727272727271</v>
      </c>
    </row>
    <row r="3" spans="1:24" x14ac:dyDescent="0.3">
      <c r="E3" s="16">
        <v>330</v>
      </c>
      <c r="F3" s="17">
        <v>8.39</v>
      </c>
      <c r="G3" s="14">
        <f t="shared" si="0"/>
        <v>25.424242424242426</v>
      </c>
      <c r="H3" s="23"/>
      <c r="I3" s="23"/>
      <c r="N3" s="21">
        <v>16.54</v>
      </c>
      <c r="O3" s="20">
        <v>750</v>
      </c>
      <c r="P3" s="19" t="s">
        <v>51</v>
      </c>
      <c r="Q3" s="21">
        <v>0.98</v>
      </c>
      <c r="R3" s="21">
        <v>16.54</v>
      </c>
      <c r="S3" s="9"/>
      <c r="T3" s="15">
        <v>3.1466666666666665</v>
      </c>
      <c r="U3" s="14">
        <v>3.1333333333333333</v>
      </c>
      <c r="V3" s="14">
        <v>3.24</v>
      </c>
      <c r="W3" s="14">
        <v>3.1199999999999997</v>
      </c>
      <c r="X3" s="14">
        <v>2.9866666666666668</v>
      </c>
    </row>
    <row r="4" spans="1:24" x14ac:dyDescent="0.3">
      <c r="E4" s="16">
        <v>330</v>
      </c>
      <c r="F4" s="17">
        <v>8.1300000000000008</v>
      </c>
      <c r="G4" s="14">
        <f t="shared" si="0"/>
        <v>24.636363636363637</v>
      </c>
      <c r="H4" s="23"/>
      <c r="I4" s="23"/>
      <c r="N4" s="21">
        <v>14.72</v>
      </c>
      <c r="O4" s="20">
        <v>750</v>
      </c>
      <c r="P4" s="19" t="s">
        <v>54</v>
      </c>
      <c r="Q4" s="21">
        <v>1</v>
      </c>
      <c r="R4" s="21">
        <v>14.72</v>
      </c>
      <c r="S4" s="9"/>
      <c r="T4" s="15">
        <v>2.1760000000000002</v>
      </c>
      <c r="U4" s="14">
        <v>2.2239999999999998</v>
      </c>
      <c r="V4" s="14">
        <v>2.3600000000000003</v>
      </c>
      <c r="W4" s="14">
        <v>2.464</v>
      </c>
      <c r="X4" s="14">
        <v>2.2559999999999998</v>
      </c>
    </row>
    <row r="5" spans="1:24" x14ac:dyDescent="0.3">
      <c r="E5" s="16">
        <v>330</v>
      </c>
      <c r="F5" s="17">
        <v>7.88</v>
      </c>
      <c r="G5" s="14">
        <f t="shared" si="0"/>
        <v>23.878787878787879</v>
      </c>
      <c r="H5" s="23"/>
      <c r="I5" s="23"/>
      <c r="N5" s="21">
        <v>11.64</v>
      </c>
      <c r="O5" s="20">
        <v>500</v>
      </c>
      <c r="P5" s="19" t="s">
        <v>46</v>
      </c>
      <c r="Q5" s="21">
        <v>1</v>
      </c>
      <c r="R5" s="21">
        <v>11.64</v>
      </c>
      <c r="S5" s="9"/>
      <c r="T5" s="15">
        <v>2.0066666666666664</v>
      </c>
      <c r="U5" s="14">
        <v>2.1</v>
      </c>
      <c r="V5" s="14">
        <v>2.2333333333333334</v>
      </c>
      <c r="W5" s="14">
        <v>2.2466666666666666</v>
      </c>
      <c r="X5" s="14">
        <v>1.9933333333333334</v>
      </c>
    </row>
    <row r="6" spans="1:24" x14ac:dyDescent="0.3">
      <c r="E6" s="16">
        <v>330</v>
      </c>
      <c r="F6" s="17">
        <v>7.77</v>
      </c>
      <c r="G6" s="14">
        <f t="shared" si="0"/>
        <v>23.545454545454543</v>
      </c>
      <c r="H6" s="23"/>
      <c r="I6" s="23"/>
      <c r="N6" s="21">
        <v>11.61</v>
      </c>
      <c r="O6" s="20">
        <v>500</v>
      </c>
      <c r="P6" s="19" t="s">
        <v>56</v>
      </c>
      <c r="Q6" s="21">
        <v>1.006</v>
      </c>
      <c r="R6" s="21">
        <v>11.61</v>
      </c>
      <c r="S6" s="9"/>
      <c r="T6" s="15">
        <v>1.6583333333333332</v>
      </c>
      <c r="U6" s="14">
        <v>1.5833333333333333</v>
      </c>
      <c r="V6" s="14">
        <v>1.6983333333333333</v>
      </c>
      <c r="W6" s="14">
        <v>1.6466666666666667</v>
      </c>
      <c r="X6" s="14">
        <v>1.4916666666666665</v>
      </c>
    </row>
    <row r="7" spans="1:24" x14ac:dyDescent="0.3">
      <c r="E7" s="16">
        <v>500</v>
      </c>
      <c r="F7" s="17">
        <v>8.49</v>
      </c>
      <c r="G7" s="14">
        <f t="shared" si="0"/>
        <v>16.98</v>
      </c>
      <c r="N7" s="21">
        <v>0.94</v>
      </c>
      <c r="O7" s="20">
        <v>1500</v>
      </c>
      <c r="P7" s="19" t="s">
        <v>40</v>
      </c>
      <c r="T7" s="15">
        <v>4.9749999999999996</v>
      </c>
      <c r="U7" s="14">
        <v>4.5249999999999995</v>
      </c>
      <c r="V7" s="14">
        <v>4.8</v>
      </c>
      <c r="W7" s="14">
        <v>4.9249999999999998</v>
      </c>
      <c r="X7" s="14">
        <v>4.8249999999999993</v>
      </c>
    </row>
    <row r="8" spans="1:24" x14ac:dyDescent="0.3">
      <c r="E8" s="16">
        <v>330</v>
      </c>
      <c r="F8" s="17">
        <v>5.56</v>
      </c>
      <c r="G8" s="14">
        <f t="shared" si="0"/>
        <v>16.848484848484848</v>
      </c>
      <c r="N8" s="21">
        <v>0.98</v>
      </c>
      <c r="O8" s="20">
        <v>1500</v>
      </c>
      <c r="P8" s="19" t="s">
        <v>40</v>
      </c>
      <c r="T8" s="15">
        <v>3.82</v>
      </c>
      <c r="U8" s="14">
        <v>3.69</v>
      </c>
      <c r="V8" s="14">
        <v>3.95</v>
      </c>
      <c r="W8" s="14">
        <v>3.96</v>
      </c>
      <c r="X8" s="14">
        <v>3.88</v>
      </c>
    </row>
    <row r="9" spans="1:24" x14ac:dyDescent="0.3">
      <c r="E9" s="16">
        <v>500</v>
      </c>
      <c r="F9" s="17">
        <v>8.24</v>
      </c>
      <c r="G9" s="14">
        <f t="shared" si="0"/>
        <v>16.48</v>
      </c>
      <c r="N9" s="21">
        <v>1</v>
      </c>
      <c r="O9" s="20">
        <v>1500</v>
      </c>
      <c r="P9" s="19" t="s">
        <v>37</v>
      </c>
      <c r="T9" s="15">
        <v>2.04</v>
      </c>
      <c r="U9" s="14">
        <v>2.04</v>
      </c>
      <c r="V9" s="14">
        <v>2.2320000000000002</v>
      </c>
      <c r="W9" s="14">
        <v>2.3039999999999998</v>
      </c>
      <c r="X9" s="14">
        <v>2.08</v>
      </c>
    </row>
    <row r="10" spans="1:24" x14ac:dyDescent="0.3">
      <c r="E10" s="16">
        <v>330</v>
      </c>
      <c r="F10" s="17">
        <v>5.43</v>
      </c>
      <c r="G10" s="14">
        <f t="shared" si="0"/>
        <v>16.454545454545453</v>
      </c>
      <c r="N10" s="21">
        <v>1</v>
      </c>
      <c r="O10" s="20">
        <v>1500</v>
      </c>
      <c r="P10" s="19" t="s">
        <v>44</v>
      </c>
      <c r="T10" s="15">
        <v>1.7016666666666669</v>
      </c>
      <c r="U10" s="14">
        <v>1.655</v>
      </c>
      <c r="V10" s="14">
        <v>1.7266666666666666</v>
      </c>
      <c r="W10" s="14">
        <v>1.8099999999999998</v>
      </c>
      <c r="X10" s="14">
        <v>1.6516666666666666</v>
      </c>
    </row>
    <row r="11" spans="1:24" x14ac:dyDescent="0.3">
      <c r="E11" s="16">
        <v>750</v>
      </c>
      <c r="F11" s="17">
        <v>12.34</v>
      </c>
      <c r="G11" s="14">
        <f t="shared" si="0"/>
        <v>16.453333333333333</v>
      </c>
      <c r="N11" s="21">
        <v>1.006</v>
      </c>
      <c r="O11" s="20">
        <v>1500</v>
      </c>
      <c r="P11" s="19" t="s">
        <v>42</v>
      </c>
      <c r="T11" s="15">
        <v>1.5166666666666668</v>
      </c>
      <c r="U11" s="14">
        <v>1.4666666666666668</v>
      </c>
      <c r="V11" s="14">
        <v>1.5333333333333334</v>
      </c>
      <c r="W11" s="14">
        <v>1.6333333333333333</v>
      </c>
      <c r="X11" s="14">
        <v>1.4</v>
      </c>
    </row>
    <row r="12" spans="1:24" x14ac:dyDescent="0.3">
      <c r="E12" s="16">
        <v>330</v>
      </c>
      <c r="F12" s="17">
        <v>5.4</v>
      </c>
      <c r="G12" s="14">
        <f t="shared" si="0"/>
        <v>16.363636363636363</v>
      </c>
      <c r="O12" s="16"/>
      <c r="P12" s="9"/>
      <c r="T12" s="15">
        <v>1</v>
      </c>
      <c r="U12" s="14">
        <v>1</v>
      </c>
      <c r="V12" s="14">
        <v>1.0999999999999999</v>
      </c>
      <c r="W12" s="14">
        <v>1.08</v>
      </c>
      <c r="X12" s="14">
        <v>1.0066666666666666</v>
      </c>
    </row>
    <row r="13" spans="1:24" x14ac:dyDescent="0.3">
      <c r="E13" s="16">
        <v>500</v>
      </c>
      <c r="F13" s="17">
        <v>8.17</v>
      </c>
      <c r="G13" s="14">
        <f t="shared" si="0"/>
        <v>16.34</v>
      </c>
      <c r="P13" s="17"/>
      <c r="T13" s="15">
        <v>1.294</v>
      </c>
      <c r="U13" s="14">
        <v>1.226</v>
      </c>
      <c r="V13" s="14">
        <v>1.3340000000000001</v>
      </c>
      <c r="W13" s="14">
        <v>1.4019999999999999</v>
      </c>
      <c r="X13" s="14">
        <v>1.208</v>
      </c>
    </row>
    <row r="14" spans="1:24" x14ac:dyDescent="0.3">
      <c r="E14" s="16">
        <v>330</v>
      </c>
      <c r="F14" s="17">
        <v>5.17</v>
      </c>
      <c r="G14" s="14">
        <f t="shared" si="0"/>
        <v>15.666666666666666</v>
      </c>
      <c r="T14" s="15">
        <v>1.54</v>
      </c>
      <c r="U14" s="14">
        <v>1.64</v>
      </c>
      <c r="V14" s="14">
        <v>1.72</v>
      </c>
      <c r="W14" s="14">
        <v>1.62</v>
      </c>
      <c r="X14" s="14">
        <v>1.52</v>
      </c>
    </row>
    <row r="15" spans="1:24" x14ac:dyDescent="0.3">
      <c r="E15" s="16">
        <v>500</v>
      </c>
      <c r="F15" s="17">
        <v>7.71</v>
      </c>
      <c r="G15" s="14">
        <f t="shared" si="0"/>
        <v>15.42</v>
      </c>
      <c r="T15" s="15">
        <v>1.0066666666666666</v>
      </c>
      <c r="U15" s="14">
        <v>0.98</v>
      </c>
      <c r="V15" s="14">
        <v>1.0333333333333334</v>
      </c>
      <c r="W15" s="14">
        <v>1.0133333333333334</v>
      </c>
      <c r="X15" s="14">
        <v>0.94</v>
      </c>
    </row>
    <row r="16" spans="1:24" x14ac:dyDescent="0.3">
      <c r="E16" s="16">
        <v>750</v>
      </c>
      <c r="F16" s="17">
        <v>11.55</v>
      </c>
      <c r="G16" s="14">
        <f t="shared" si="0"/>
        <v>15.4</v>
      </c>
      <c r="T16" s="15">
        <v>1.3166666666666669</v>
      </c>
      <c r="U16" s="14">
        <v>1.35</v>
      </c>
      <c r="V16" s="14">
        <v>1.4333333333333333</v>
      </c>
      <c r="W16" s="14">
        <v>1.3833333333333333</v>
      </c>
      <c r="X16" s="14">
        <v>1.2833333333333334</v>
      </c>
    </row>
    <row r="17" spans="5:24" x14ac:dyDescent="0.3">
      <c r="E17" s="16">
        <v>500</v>
      </c>
      <c r="F17" s="17">
        <v>7.65</v>
      </c>
      <c r="G17" s="14">
        <f t="shared" si="0"/>
        <v>15.3</v>
      </c>
      <c r="T17" s="15">
        <v>1.2</v>
      </c>
      <c r="U17" s="14">
        <v>1.2</v>
      </c>
      <c r="V17" s="14">
        <v>1.2666666666666666</v>
      </c>
      <c r="W17" s="14">
        <v>1.28</v>
      </c>
      <c r="X17" s="14">
        <v>1.1266666666666667</v>
      </c>
    </row>
    <row r="18" spans="5:24" x14ac:dyDescent="0.3">
      <c r="E18" s="16">
        <v>330</v>
      </c>
      <c r="F18" s="17">
        <v>5</v>
      </c>
      <c r="G18" s="14">
        <f t="shared" si="0"/>
        <v>15.15151515151515</v>
      </c>
      <c r="T18" s="15">
        <v>2.3666666666666667</v>
      </c>
      <c r="U18" s="14">
        <v>2.3333333333333335</v>
      </c>
      <c r="V18" s="14">
        <v>2.3333333333333335</v>
      </c>
      <c r="W18" s="14">
        <v>2.5666666666666669</v>
      </c>
      <c r="X18" s="14">
        <v>2.2000000000000002</v>
      </c>
    </row>
    <row r="19" spans="5:24" x14ac:dyDescent="0.3">
      <c r="E19" s="16">
        <v>750</v>
      </c>
      <c r="F19" s="17">
        <v>11.32</v>
      </c>
      <c r="G19" s="14">
        <f t="shared" si="0"/>
        <v>15.093333333333334</v>
      </c>
      <c r="T19" s="15">
        <v>1.3399999999999999</v>
      </c>
      <c r="U19" s="14">
        <v>1.26</v>
      </c>
      <c r="V19" s="14">
        <v>1.3933333333333333</v>
      </c>
      <c r="W19" s="14">
        <v>1.3733333333333333</v>
      </c>
      <c r="X19" s="14">
        <v>1.2733333333333332</v>
      </c>
    </row>
    <row r="20" spans="5:24" x14ac:dyDescent="0.3">
      <c r="E20" s="16">
        <v>750</v>
      </c>
      <c r="F20" s="17">
        <v>11.09</v>
      </c>
      <c r="G20" s="14">
        <f t="shared" si="0"/>
        <v>14.786666666666667</v>
      </c>
      <c r="T20" s="15">
        <v>1.3466666666666667</v>
      </c>
      <c r="U20" s="14">
        <v>1.24</v>
      </c>
      <c r="V20" s="14">
        <v>1.3550000000000002</v>
      </c>
      <c r="W20" s="14">
        <v>1.3616666666666666</v>
      </c>
      <c r="X20" s="14">
        <v>1.2333333333333334</v>
      </c>
    </row>
    <row r="21" spans="5:24" x14ac:dyDescent="0.3">
      <c r="E21" s="16">
        <v>750</v>
      </c>
      <c r="F21" s="17">
        <v>11.04</v>
      </c>
      <c r="G21" s="14">
        <f t="shared" si="0"/>
        <v>14.719999999999999</v>
      </c>
      <c r="T21" s="15">
        <v>16.34</v>
      </c>
      <c r="U21" s="14">
        <v>15.42</v>
      </c>
      <c r="V21" s="14">
        <v>16.48</v>
      </c>
      <c r="W21" s="14">
        <v>16.98</v>
      </c>
      <c r="X21" s="14">
        <v>15.3</v>
      </c>
    </row>
    <row r="22" spans="5:24" x14ac:dyDescent="0.3">
      <c r="E22" s="16">
        <v>750</v>
      </c>
      <c r="F22" s="17">
        <v>10.95</v>
      </c>
      <c r="G22" s="14">
        <f t="shared" si="0"/>
        <v>14.6</v>
      </c>
      <c r="T22" s="15">
        <v>11.45</v>
      </c>
      <c r="U22" s="14">
        <v>11.46</v>
      </c>
      <c r="V22" s="14">
        <v>12.76</v>
      </c>
      <c r="W22" s="14">
        <v>13.18</v>
      </c>
      <c r="X22" s="14">
        <v>11.76</v>
      </c>
    </row>
    <row r="23" spans="5:24" x14ac:dyDescent="0.3">
      <c r="E23" s="16">
        <v>750</v>
      </c>
      <c r="F23" s="17">
        <v>10.81</v>
      </c>
      <c r="G23" s="14">
        <f t="shared" si="0"/>
        <v>14.413333333333334</v>
      </c>
      <c r="T23" s="15">
        <v>10.66</v>
      </c>
      <c r="U23" s="14">
        <v>10.08</v>
      </c>
      <c r="V23" s="14">
        <v>11.46</v>
      </c>
      <c r="W23" s="14">
        <v>11.02</v>
      </c>
      <c r="X23" s="14">
        <v>9.6</v>
      </c>
    </row>
    <row r="24" spans="5:24" x14ac:dyDescent="0.3">
      <c r="E24" s="16">
        <v>750</v>
      </c>
      <c r="F24" s="17">
        <v>10.75</v>
      </c>
      <c r="G24" s="14">
        <f t="shared" si="0"/>
        <v>14.333333333333334</v>
      </c>
      <c r="T24" s="14">
        <v>6.7533333333333339</v>
      </c>
      <c r="U24" s="14">
        <v>6.84</v>
      </c>
      <c r="V24" s="14">
        <v>6.96</v>
      </c>
      <c r="W24" s="14">
        <v>7.1066666666666665</v>
      </c>
      <c r="X24" s="14">
        <v>6.7</v>
      </c>
    </row>
    <row r="25" spans="5:24" x14ac:dyDescent="0.3">
      <c r="E25" s="16">
        <v>750</v>
      </c>
      <c r="F25" s="17">
        <v>10.7</v>
      </c>
      <c r="G25" s="14">
        <f t="shared" si="0"/>
        <v>14.266666666666666</v>
      </c>
      <c r="T25" s="14">
        <v>16.454545454545453</v>
      </c>
      <c r="U25" s="14">
        <v>15.15151515151515</v>
      </c>
      <c r="V25" s="14">
        <v>16.848484848484848</v>
      </c>
      <c r="W25" s="14">
        <v>16.363636363636363</v>
      </c>
      <c r="X25" s="14">
        <v>15.666666666666666</v>
      </c>
    </row>
    <row r="26" spans="5:24" x14ac:dyDescent="0.3">
      <c r="E26" s="16">
        <v>750</v>
      </c>
      <c r="F26" s="17">
        <v>10.66</v>
      </c>
      <c r="G26" s="14">
        <f t="shared" si="0"/>
        <v>14.213333333333333</v>
      </c>
      <c r="T26" s="14">
        <v>14.333333333333334</v>
      </c>
      <c r="U26" s="14">
        <v>13.693333333333333</v>
      </c>
      <c r="V26" s="14">
        <v>14.266666666666666</v>
      </c>
      <c r="W26" s="14">
        <v>14.786666666666667</v>
      </c>
      <c r="X26" s="14">
        <v>13.520000000000001</v>
      </c>
    </row>
    <row r="27" spans="5:24" x14ac:dyDescent="0.3">
      <c r="E27" s="16">
        <v>750</v>
      </c>
      <c r="F27" s="17">
        <v>10.65</v>
      </c>
      <c r="G27" s="14">
        <f t="shared" si="0"/>
        <v>14.200000000000001</v>
      </c>
      <c r="T27" s="14">
        <v>23.878787878787879</v>
      </c>
      <c r="U27" s="14">
        <v>23.545454545454543</v>
      </c>
      <c r="V27" s="14">
        <v>26.545454545454543</v>
      </c>
      <c r="W27" s="14">
        <v>25.424242424242426</v>
      </c>
      <c r="X27" s="14">
        <v>24.636363636363637</v>
      </c>
    </row>
    <row r="28" spans="5:24" x14ac:dyDescent="0.3">
      <c r="E28" s="16">
        <v>750</v>
      </c>
      <c r="F28" s="17">
        <v>10.48</v>
      </c>
      <c r="G28" s="14">
        <f t="shared" si="0"/>
        <v>13.973333333333334</v>
      </c>
      <c r="T28" s="14">
        <v>14.6</v>
      </c>
      <c r="U28" s="14">
        <v>13.840000000000002</v>
      </c>
      <c r="V28" s="14">
        <v>14.213333333333333</v>
      </c>
      <c r="W28" s="14">
        <v>15.093333333333334</v>
      </c>
      <c r="X28" s="14">
        <v>14.200000000000001</v>
      </c>
    </row>
    <row r="29" spans="5:24" x14ac:dyDescent="0.3">
      <c r="E29" s="16">
        <v>750</v>
      </c>
      <c r="F29" s="17">
        <v>10.38</v>
      </c>
      <c r="G29" s="14">
        <f t="shared" si="0"/>
        <v>13.840000000000002</v>
      </c>
      <c r="T29" s="14">
        <v>14.719999999999999</v>
      </c>
      <c r="U29" s="14">
        <v>14.413333333333334</v>
      </c>
      <c r="V29" s="14">
        <v>16.453333333333333</v>
      </c>
      <c r="W29" s="14">
        <v>15.4</v>
      </c>
      <c r="X29" s="14">
        <v>13.973333333333334</v>
      </c>
    </row>
    <row r="30" spans="5:24" x14ac:dyDescent="0.3">
      <c r="E30" s="16">
        <v>750</v>
      </c>
      <c r="F30" s="17">
        <v>10.27</v>
      </c>
      <c r="G30" s="14">
        <f t="shared" si="0"/>
        <v>13.693333333333333</v>
      </c>
      <c r="T30" s="14">
        <v>11.45</v>
      </c>
      <c r="U30" s="14">
        <v>10.69</v>
      </c>
      <c r="V30" s="14">
        <v>11.35</v>
      </c>
      <c r="W30" s="14">
        <v>12.08</v>
      </c>
      <c r="X30" s="14">
        <v>10.41</v>
      </c>
    </row>
    <row r="31" spans="5:24" x14ac:dyDescent="0.3">
      <c r="E31" s="16">
        <v>750</v>
      </c>
      <c r="F31" s="17">
        <v>10.14</v>
      </c>
      <c r="G31" s="14">
        <f t="shared" si="0"/>
        <v>13.520000000000001</v>
      </c>
      <c r="T31" s="14">
        <v>11.61</v>
      </c>
      <c r="U31" s="14">
        <v>10.86</v>
      </c>
      <c r="V31" s="14">
        <v>11.96</v>
      </c>
      <c r="W31" s="14">
        <v>11.88</v>
      </c>
      <c r="X31" s="14">
        <v>11.12</v>
      </c>
    </row>
    <row r="32" spans="5:24" x14ac:dyDescent="0.3">
      <c r="E32" s="16">
        <v>1000</v>
      </c>
      <c r="F32" s="17">
        <v>13.18</v>
      </c>
      <c r="G32" s="14">
        <f t="shared" si="0"/>
        <v>13.18</v>
      </c>
    </row>
    <row r="33" spans="5:21" x14ac:dyDescent="0.3">
      <c r="E33" s="16">
        <v>1000</v>
      </c>
      <c r="F33" s="17">
        <v>12.76</v>
      </c>
      <c r="G33" s="14">
        <f t="shared" si="0"/>
        <v>12.76</v>
      </c>
    </row>
    <row r="34" spans="5:21" x14ac:dyDescent="0.3">
      <c r="E34" s="16">
        <v>1000</v>
      </c>
      <c r="F34" s="17">
        <v>12.08</v>
      </c>
      <c r="G34" s="14">
        <f t="shared" ref="G34:G65" si="1">F34/(E34/1000)</f>
        <v>12.08</v>
      </c>
      <c r="P34" s="25"/>
    </row>
    <row r="35" spans="5:21" x14ac:dyDescent="0.3">
      <c r="E35" s="16">
        <v>1000</v>
      </c>
      <c r="F35" s="17">
        <v>11.96</v>
      </c>
      <c r="G35" s="14">
        <f t="shared" si="1"/>
        <v>11.96</v>
      </c>
      <c r="T35" s="22"/>
      <c r="U35" s="23"/>
    </row>
    <row r="36" spans="5:21" x14ac:dyDescent="0.3">
      <c r="E36" s="16">
        <v>1000</v>
      </c>
      <c r="F36" s="17">
        <v>11.88</v>
      </c>
      <c r="G36" s="14">
        <f t="shared" si="1"/>
        <v>11.88</v>
      </c>
      <c r="T36" s="18"/>
      <c r="U36" s="22"/>
    </row>
    <row r="37" spans="5:21" x14ac:dyDescent="0.3">
      <c r="E37" s="16">
        <v>1000</v>
      </c>
      <c r="F37" s="17">
        <v>11.76</v>
      </c>
      <c r="G37" s="14">
        <f t="shared" si="1"/>
        <v>11.76</v>
      </c>
      <c r="T37" s="18"/>
      <c r="U37" s="22"/>
    </row>
    <row r="38" spans="5:21" x14ac:dyDescent="0.3">
      <c r="E38" s="16">
        <v>1000</v>
      </c>
      <c r="F38" s="17">
        <v>11.61</v>
      </c>
      <c r="G38" s="14">
        <f t="shared" si="1"/>
        <v>11.61</v>
      </c>
      <c r="T38" s="18"/>
      <c r="U38" s="22"/>
    </row>
    <row r="39" spans="5:21" x14ac:dyDescent="0.3">
      <c r="E39" s="16">
        <v>1000</v>
      </c>
      <c r="F39" s="17">
        <v>11.46</v>
      </c>
      <c r="G39" s="14">
        <f t="shared" si="1"/>
        <v>11.46</v>
      </c>
      <c r="T39" s="18"/>
      <c r="U39" s="22"/>
    </row>
    <row r="40" spans="5:21" x14ac:dyDescent="0.3">
      <c r="E40" s="16">
        <v>500</v>
      </c>
      <c r="F40" s="17">
        <v>5.73</v>
      </c>
      <c r="G40" s="14">
        <f t="shared" si="1"/>
        <v>11.46</v>
      </c>
      <c r="T40" s="18"/>
      <c r="U40" s="22"/>
    </row>
    <row r="41" spans="5:21" x14ac:dyDescent="0.3">
      <c r="E41" s="16">
        <v>1000</v>
      </c>
      <c r="F41" s="17">
        <v>11.45</v>
      </c>
      <c r="G41" s="14">
        <f t="shared" si="1"/>
        <v>11.45</v>
      </c>
      <c r="T41" s="18"/>
      <c r="U41" s="22"/>
    </row>
    <row r="42" spans="5:21" x14ac:dyDescent="0.3">
      <c r="E42" s="16">
        <v>1000</v>
      </c>
      <c r="F42" s="17">
        <v>11.45</v>
      </c>
      <c r="G42" s="14">
        <f t="shared" si="1"/>
        <v>11.45</v>
      </c>
      <c r="T42" s="18"/>
      <c r="U42" s="22"/>
    </row>
    <row r="43" spans="5:21" x14ac:dyDescent="0.3">
      <c r="E43" s="16">
        <v>1000</v>
      </c>
      <c r="F43" s="17">
        <v>11.35</v>
      </c>
      <c r="G43" s="14">
        <f t="shared" si="1"/>
        <v>11.35</v>
      </c>
      <c r="T43" s="18"/>
      <c r="U43" s="22"/>
    </row>
    <row r="44" spans="5:21" x14ac:dyDescent="0.3">
      <c r="E44" s="16">
        <v>1000</v>
      </c>
      <c r="F44" s="17">
        <v>11.12</v>
      </c>
      <c r="G44" s="14">
        <f t="shared" si="1"/>
        <v>11.12</v>
      </c>
      <c r="T44" s="18"/>
      <c r="U44" s="22"/>
    </row>
    <row r="45" spans="5:21" x14ac:dyDescent="0.3">
      <c r="E45" s="16">
        <v>500</v>
      </c>
      <c r="F45" s="17">
        <v>5.51</v>
      </c>
      <c r="G45" s="14">
        <f t="shared" si="1"/>
        <v>11.02</v>
      </c>
      <c r="T45" s="18"/>
      <c r="U45" s="22"/>
    </row>
    <row r="46" spans="5:21" x14ac:dyDescent="0.3">
      <c r="E46" s="16">
        <v>1000</v>
      </c>
      <c r="F46" s="17">
        <v>10.86</v>
      </c>
      <c r="G46" s="14">
        <f t="shared" si="1"/>
        <v>10.86</v>
      </c>
      <c r="T46" s="18"/>
      <c r="U46" s="22"/>
    </row>
    <row r="47" spans="5:21" x14ac:dyDescent="0.3">
      <c r="E47" s="16">
        <v>1000</v>
      </c>
      <c r="F47" s="17">
        <v>10.69</v>
      </c>
      <c r="G47" s="14">
        <f t="shared" si="1"/>
        <v>10.69</v>
      </c>
      <c r="T47" s="18"/>
      <c r="U47" s="22"/>
    </row>
    <row r="48" spans="5:21" x14ac:dyDescent="0.3">
      <c r="E48" s="16">
        <v>500</v>
      </c>
      <c r="F48" s="17">
        <v>5.33</v>
      </c>
      <c r="G48" s="14">
        <f t="shared" si="1"/>
        <v>10.66</v>
      </c>
      <c r="T48" s="18"/>
      <c r="U48" s="22"/>
    </row>
    <row r="49" spans="5:21" x14ac:dyDescent="0.3">
      <c r="E49" s="16">
        <v>1000</v>
      </c>
      <c r="F49" s="17">
        <v>10.41</v>
      </c>
      <c r="G49" s="14">
        <f t="shared" si="1"/>
        <v>10.41</v>
      </c>
      <c r="T49" s="18"/>
      <c r="U49" s="22"/>
    </row>
    <row r="50" spans="5:21" x14ac:dyDescent="0.3">
      <c r="E50" s="16">
        <v>500</v>
      </c>
      <c r="F50" s="17">
        <v>5.04</v>
      </c>
      <c r="G50" s="14">
        <f t="shared" si="1"/>
        <v>10.08</v>
      </c>
      <c r="T50" s="18"/>
      <c r="U50" s="22"/>
    </row>
    <row r="51" spans="5:21" x14ac:dyDescent="0.3">
      <c r="E51" s="16">
        <v>500</v>
      </c>
      <c r="F51" s="17">
        <v>4.8</v>
      </c>
      <c r="G51" s="14">
        <f t="shared" si="1"/>
        <v>9.6</v>
      </c>
      <c r="T51" s="18"/>
      <c r="U51" s="22"/>
    </row>
    <row r="52" spans="5:21" x14ac:dyDescent="0.3">
      <c r="E52" s="16">
        <v>1500</v>
      </c>
      <c r="F52" s="17">
        <v>10.66</v>
      </c>
      <c r="G52" s="14">
        <f t="shared" si="1"/>
        <v>7.1066666666666665</v>
      </c>
      <c r="T52" s="18"/>
      <c r="U52" s="22"/>
    </row>
    <row r="53" spans="5:21" x14ac:dyDescent="0.3">
      <c r="E53" s="16">
        <v>1500</v>
      </c>
      <c r="F53" s="17">
        <v>10.44</v>
      </c>
      <c r="G53" s="14">
        <f t="shared" si="1"/>
        <v>6.96</v>
      </c>
      <c r="T53" s="18"/>
      <c r="U53" s="22"/>
    </row>
    <row r="54" spans="5:21" x14ac:dyDescent="0.3">
      <c r="E54" s="16">
        <v>1500</v>
      </c>
      <c r="F54" s="17">
        <v>10.26</v>
      </c>
      <c r="G54" s="14">
        <f t="shared" si="1"/>
        <v>6.84</v>
      </c>
      <c r="T54" s="18"/>
      <c r="U54" s="22"/>
    </row>
    <row r="55" spans="5:21" x14ac:dyDescent="0.3">
      <c r="E55" s="16">
        <v>1500</v>
      </c>
      <c r="F55" s="17">
        <v>10.130000000000001</v>
      </c>
      <c r="G55" s="14">
        <f t="shared" si="1"/>
        <v>6.7533333333333339</v>
      </c>
      <c r="T55" s="18"/>
      <c r="U55" s="22"/>
    </row>
    <row r="56" spans="5:21" x14ac:dyDescent="0.3">
      <c r="E56" s="16">
        <v>1500</v>
      </c>
      <c r="F56" s="17">
        <v>10.050000000000001</v>
      </c>
      <c r="G56" s="14">
        <f t="shared" si="1"/>
        <v>6.7</v>
      </c>
      <c r="T56" s="18"/>
      <c r="U56" s="22"/>
    </row>
    <row r="57" spans="5:21" x14ac:dyDescent="0.3">
      <c r="E57" s="16">
        <v>400</v>
      </c>
      <c r="F57" s="17">
        <v>1.99</v>
      </c>
      <c r="G57" s="14">
        <f t="shared" si="1"/>
        <v>4.9749999999999996</v>
      </c>
      <c r="T57" s="18"/>
      <c r="U57" s="22"/>
    </row>
    <row r="58" spans="5:21" x14ac:dyDescent="0.3">
      <c r="E58" s="16">
        <v>400</v>
      </c>
      <c r="F58" s="17">
        <v>1.97</v>
      </c>
      <c r="G58" s="14">
        <f t="shared" si="1"/>
        <v>4.9249999999999998</v>
      </c>
    </row>
    <row r="59" spans="5:21" x14ac:dyDescent="0.3">
      <c r="E59" s="16">
        <v>400</v>
      </c>
      <c r="F59" s="17">
        <v>1.93</v>
      </c>
      <c r="G59" s="14">
        <f t="shared" si="1"/>
        <v>4.8249999999999993</v>
      </c>
    </row>
    <row r="60" spans="5:21" x14ac:dyDescent="0.3">
      <c r="E60" s="16">
        <v>400</v>
      </c>
      <c r="F60" s="17">
        <v>1.92</v>
      </c>
      <c r="G60" s="14">
        <f t="shared" si="1"/>
        <v>4.8</v>
      </c>
    </row>
    <row r="61" spans="5:21" x14ac:dyDescent="0.3">
      <c r="E61" s="16">
        <v>400</v>
      </c>
      <c r="F61" s="17">
        <v>1.81</v>
      </c>
      <c r="G61" s="14">
        <f t="shared" si="1"/>
        <v>4.5249999999999995</v>
      </c>
    </row>
    <row r="62" spans="5:21" x14ac:dyDescent="0.3">
      <c r="E62" s="16">
        <v>1000</v>
      </c>
      <c r="F62" s="17">
        <v>3.96</v>
      </c>
      <c r="G62" s="14">
        <f t="shared" si="1"/>
        <v>3.96</v>
      </c>
    </row>
    <row r="63" spans="5:21" x14ac:dyDescent="0.3">
      <c r="E63" s="16">
        <v>1000</v>
      </c>
      <c r="F63" s="17">
        <v>3.95</v>
      </c>
      <c r="G63" s="14">
        <f t="shared" si="1"/>
        <v>3.95</v>
      </c>
    </row>
    <row r="64" spans="5:21" x14ac:dyDescent="0.3">
      <c r="E64" s="16">
        <v>1000</v>
      </c>
      <c r="F64" s="17">
        <v>3.88</v>
      </c>
      <c r="G64" s="14">
        <f t="shared" si="1"/>
        <v>3.88</v>
      </c>
    </row>
    <row r="65" spans="5:7" x14ac:dyDescent="0.3">
      <c r="E65" s="16">
        <v>1000</v>
      </c>
      <c r="F65" s="17">
        <v>3.82</v>
      </c>
      <c r="G65" s="14">
        <f t="shared" si="1"/>
        <v>3.82</v>
      </c>
    </row>
    <row r="66" spans="5:7" x14ac:dyDescent="0.3">
      <c r="E66" s="16">
        <v>1000</v>
      </c>
      <c r="F66" s="17">
        <v>3.69</v>
      </c>
      <c r="G66" s="14">
        <f t="shared" ref="G66:G97" si="2">F66/(E66/1000)</f>
        <v>3.69</v>
      </c>
    </row>
    <row r="67" spans="5:7" x14ac:dyDescent="0.3">
      <c r="E67" s="16">
        <v>750</v>
      </c>
      <c r="F67" s="17">
        <v>2.4300000000000002</v>
      </c>
      <c r="G67" s="14">
        <f t="shared" si="2"/>
        <v>3.24</v>
      </c>
    </row>
    <row r="68" spans="5:7" x14ac:dyDescent="0.3">
      <c r="E68" s="16">
        <v>750</v>
      </c>
      <c r="F68" s="17">
        <v>2.36</v>
      </c>
      <c r="G68" s="14">
        <f t="shared" si="2"/>
        <v>3.1466666666666665</v>
      </c>
    </row>
    <row r="69" spans="5:7" x14ac:dyDescent="0.3">
      <c r="E69" s="16">
        <v>750</v>
      </c>
      <c r="F69" s="17">
        <v>2.35</v>
      </c>
      <c r="G69" s="14">
        <f t="shared" si="2"/>
        <v>3.1333333333333333</v>
      </c>
    </row>
    <row r="70" spans="5:7" x14ac:dyDescent="0.3">
      <c r="E70" s="16">
        <v>750</v>
      </c>
      <c r="F70" s="17">
        <v>2.34</v>
      </c>
      <c r="G70" s="14">
        <f t="shared" si="2"/>
        <v>3.1199999999999997</v>
      </c>
    </row>
    <row r="71" spans="5:7" x14ac:dyDescent="0.3">
      <c r="E71" s="16">
        <v>750</v>
      </c>
      <c r="F71" s="17">
        <v>2.2400000000000002</v>
      </c>
      <c r="G71" s="14">
        <f t="shared" si="2"/>
        <v>2.9866666666666668</v>
      </c>
    </row>
    <row r="72" spans="5:7" x14ac:dyDescent="0.3">
      <c r="E72" s="16">
        <v>550</v>
      </c>
      <c r="F72" s="17">
        <v>1.64</v>
      </c>
      <c r="G72" s="14">
        <f t="shared" si="2"/>
        <v>2.9818181818181815</v>
      </c>
    </row>
    <row r="73" spans="5:7" x14ac:dyDescent="0.3">
      <c r="E73" s="16">
        <v>550</v>
      </c>
      <c r="F73" s="17">
        <v>1.54</v>
      </c>
      <c r="G73" s="14">
        <f t="shared" si="2"/>
        <v>2.8</v>
      </c>
    </row>
    <row r="74" spans="5:7" x14ac:dyDescent="0.3">
      <c r="E74" s="16">
        <v>550</v>
      </c>
      <c r="F74" s="17">
        <v>1.52</v>
      </c>
      <c r="G74" s="14">
        <f t="shared" si="2"/>
        <v>2.7636363636363632</v>
      </c>
    </row>
    <row r="75" spans="5:7" x14ac:dyDescent="0.3">
      <c r="E75" s="16">
        <v>550</v>
      </c>
      <c r="F75" s="17">
        <v>1.52</v>
      </c>
      <c r="G75" s="14">
        <f t="shared" si="2"/>
        <v>2.7636363636363632</v>
      </c>
    </row>
    <row r="76" spans="5:7" x14ac:dyDescent="0.3">
      <c r="E76" s="16">
        <v>550</v>
      </c>
      <c r="F76" s="17">
        <v>1.5</v>
      </c>
      <c r="G76" s="14">
        <f t="shared" si="2"/>
        <v>2.7272727272727271</v>
      </c>
    </row>
    <row r="77" spans="5:7" x14ac:dyDescent="0.3">
      <c r="E77" s="16">
        <v>300</v>
      </c>
      <c r="F77" s="17">
        <v>0.77</v>
      </c>
      <c r="G77" s="14">
        <f t="shared" si="2"/>
        <v>2.5666666666666669</v>
      </c>
    </row>
    <row r="78" spans="5:7" x14ac:dyDescent="0.3">
      <c r="E78" s="16">
        <v>1250</v>
      </c>
      <c r="F78" s="17">
        <v>3.08</v>
      </c>
      <c r="G78" s="14">
        <f t="shared" si="2"/>
        <v>2.464</v>
      </c>
    </row>
    <row r="79" spans="5:7" x14ac:dyDescent="0.3">
      <c r="E79" s="16">
        <v>300</v>
      </c>
      <c r="F79" s="17">
        <v>0.71</v>
      </c>
      <c r="G79" s="14">
        <f t="shared" si="2"/>
        <v>2.3666666666666667</v>
      </c>
    </row>
    <row r="80" spans="5:7" x14ac:dyDescent="0.3">
      <c r="E80" s="16">
        <v>1250</v>
      </c>
      <c r="F80" s="17">
        <v>2.95</v>
      </c>
      <c r="G80" s="14">
        <f t="shared" si="2"/>
        <v>2.3600000000000003</v>
      </c>
    </row>
    <row r="81" spans="5:7" x14ac:dyDescent="0.3">
      <c r="E81" s="16">
        <v>300</v>
      </c>
      <c r="F81" s="17">
        <v>0.7</v>
      </c>
      <c r="G81" s="14">
        <f t="shared" si="2"/>
        <v>2.3333333333333335</v>
      </c>
    </row>
    <row r="82" spans="5:7" x14ac:dyDescent="0.3">
      <c r="E82" s="16">
        <v>300</v>
      </c>
      <c r="F82" s="17">
        <v>0.7</v>
      </c>
      <c r="G82" s="14">
        <f t="shared" si="2"/>
        <v>2.3333333333333335</v>
      </c>
    </row>
    <row r="83" spans="5:7" x14ac:dyDescent="0.3">
      <c r="E83" s="16">
        <v>1250</v>
      </c>
      <c r="F83" s="17">
        <v>2.88</v>
      </c>
      <c r="G83" s="14">
        <f t="shared" si="2"/>
        <v>2.3039999999999998</v>
      </c>
    </row>
    <row r="84" spans="5:7" x14ac:dyDescent="0.3">
      <c r="E84" s="16">
        <v>1250</v>
      </c>
      <c r="F84" s="17">
        <v>2.82</v>
      </c>
      <c r="G84" s="14">
        <f t="shared" si="2"/>
        <v>2.2559999999999998</v>
      </c>
    </row>
    <row r="85" spans="5:7" x14ac:dyDescent="0.3">
      <c r="E85" s="16">
        <v>1500</v>
      </c>
      <c r="F85" s="17">
        <v>3.37</v>
      </c>
      <c r="G85" s="14">
        <f t="shared" si="2"/>
        <v>2.2466666666666666</v>
      </c>
    </row>
    <row r="86" spans="5:7" x14ac:dyDescent="0.3">
      <c r="E86" s="16">
        <v>1500</v>
      </c>
      <c r="F86" s="17">
        <v>3.35</v>
      </c>
      <c r="G86" s="14">
        <f t="shared" si="2"/>
        <v>2.2333333333333334</v>
      </c>
    </row>
    <row r="87" spans="5:7" x14ac:dyDescent="0.3">
      <c r="E87" s="16">
        <v>1250</v>
      </c>
      <c r="F87" s="17">
        <v>2.79</v>
      </c>
      <c r="G87" s="14">
        <f t="shared" si="2"/>
        <v>2.2320000000000002</v>
      </c>
    </row>
    <row r="88" spans="5:7" x14ac:dyDescent="0.3">
      <c r="E88" s="16">
        <v>1250</v>
      </c>
      <c r="F88" s="17">
        <v>2.78</v>
      </c>
      <c r="G88" s="14">
        <f t="shared" si="2"/>
        <v>2.2239999999999998</v>
      </c>
    </row>
    <row r="89" spans="5:7" x14ac:dyDescent="0.3">
      <c r="E89" s="16">
        <v>300</v>
      </c>
      <c r="F89" s="17">
        <v>0.66</v>
      </c>
      <c r="G89" s="14">
        <f t="shared" si="2"/>
        <v>2.2000000000000002</v>
      </c>
    </row>
    <row r="90" spans="5:7" x14ac:dyDescent="0.3">
      <c r="E90" s="16">
        <v>1250</v>
      </c>
      <c r="F90" s="17">
        <v>2.72</v>
      </c>
      <c r="G90" s="14">
        <f t="shared" si="2"/>
        <v>2.1760000000000002</v>
      </c>
    </row>
    <row r="91" spans="5:7" x14ac:dyDescent="0.3">
      <c r="E91" s="16">
        <v>1500</v>
      </c>
      <c r="F91" s="17">
        <v>3.15</v>
      </c>
      <c r="G91" s="14">
        <f t="shared" si="2"/>
        <v>2.1</v>
      </c>
    </row>
    <row r="92" spans="5:7" x14ac:dyDescent="0.3">
      <c r="E92" s="16">
        <v>1250</v>
      </c>
      <c r="F92" s="17">
        <v>2.6</v>
      </c>
      <c r="G92" s="14">
        <f t="shared" si="2"/>
        <v>2.08</v>
      </c>
    </row>
    <row r="93" spans="5:7" x14ac:dyDescent="0.3">
      <c r="E93" s="16">
        <v>1250</v>
      </c>
      <c r="F93" s="17">
        <v>2.5499999999999998</v>
      </c>
      <c r="G93" s="14">
        <f t="shared" si="2"/>
        <v>2.04</v>
      </c>
    </row>
    <row r="94" spans="5:7" x14ac:dyDescent="0.3">
      <c r="E94" s="16">
        <v>1250</v>
      </c>
      <c r="F94" s="17">
        <v>2.5499999999999998</v>
      </c>
      <c r="G94" s="14">
        <f t="shared" si="2"/>
        <v>2.04</v>
      </c>
    </row>
    <row r="95" spans="5:7" x14ac:dyDescent="0.3">
      <c r="E95" s="16">
        <v>1500</v>
      </c>
      <c r="F95" s="17">
        <v>3.01</v>
      </c>
      <c r="G95" s="14">
        <f t="shared" si="2"/>
        <v>2.0066666666666664</v>
      </c>
    </row>
    <row r="96" spans="5:7" x14ac:dyDescent="0.3">
      <c r="E96" s="16">
        <v>1500</v>
      </c>
      <c r="F96" s="17">
        <v>2.99</v>
      </c>
      <c r="G96" s="14">
        <f t="shared" si="2"/>
        <v>1.9933333333333334</v>
      </c>
    </row>
    <row r="97" spans="5:7" x14ac:dyDescent="0.3">
      <c r="E97" s="16">
        <v>6000</v>
      </c>
      <c r="F97" s="17">
        <v>10.86</v>
      </c>
      <c r="G97" s="14">
        <f t="shared" si="2"/>
        <v>1.8099999999999998</v>
      </c>
    </row>
    <row r="98" spans="5:7" x14ac:dyDescent="0.3">
      <c r="E98" s="16">
        <v>6000</v>
      </c>
      <c r="F98" s="17">
        <v>10.36</v>
      </c>
      <c r="G98" s="14">
        <f t="shared" ref="G98:G129" si="3">F98/(E98/1000)</f>
        <v>1.7266666666666666</v>
      </c>
    </row>
    <row r="99" spans="5:7" x14ac:dyDescent="0.3">
      <c r="E99" s="16">
        <v>500</v>
      </c>
      <c r="F99" s="17">
        <v>0.86</v>
      </c>
      <c r="G99" s="14">
        <f t="shared" si="3"/>
        <v>1.72</v>
      </c>
    </row>
    <row r="100" spans="5:7" x14ac:dyDescent="0.3">
      <c r="E100" s="16">
        <v>6000</v>
      </c>
      <c r="F100" s="17">
        <v>10.210000000000001</v>
      </c>
      <c r="G100" s="14">
        <f t="shared" si="3"/>
        <v>1.7016666666666669</v>
      </c>
    </row>
    <row r="101" spans="5:7" x14ac:dyDescent="0.3">
      <c r="E101" s="16">
        <v>6000</v>
      </c>
      <c r="F101" s="17">
        <v>10.19</v>
      </c>
      <c r="G101" s="14">
        <f t="shared" si="3"/>
        <v>1.6983333333333333</v>
      </c>
    </row>
    <row r="102" spans="5:7" x14ac:dyDescent="0.3">
      <c r="E102" s="16">
        <v>6000</v>
      </c>
      <c r="F102" s="17">
        <v>9.9499999999999993</v>
      </c>
      <c r="G102" s="14">
        <f t="shared" si="3"/>
        <v>1.6583333333333332</v>
      </c>
    </row>
    <row r="103" spans="5:7" x14ac:dyDescent="0.3">
      <c r="E103" s="16">
        <v>6000</v>
      </c>
      <c r="F103" s="17">
        <v>9.93</v>
      </c>
      <c r="G103" s="14">
        <f t="shared" si="3"/>
        <v>1.655</v>
      </c>
    </row>
    <row r="104" spans="5:7" x14ac:dyDescent="0.3">
      <c r="E104" s="16">
        <v>6000</v>
      </c>
      <c r="F104" s="17">
        <v>9.91</v>
      </c>
      <c r="G104" s="14">
        <f t="shared" si="3"/>
        <v>1.6516666666666666</v>
      </c>
    </row>
    <row r="105" spans="5:7" x14ac:dyDescent="0.3">
      <c r="E105" s="16">
        <v>6000</v>
      </c>
      <c r="F105" s="17">
        <v>9.8800000000000008</v>
      </c>
      <c r="G105" s="14">
        <f t="shared" si="3"/>
        <v>1.6466666666666667</v>
      </c>
    </row>
    <row r="106" spans="5:7" x14ac:dyDescent="0.3">
      <c r="E106" s="16">
        <v>500</v>
      </c>
      <c r="F106" s="17">
        <v>0.82</v>
      </c>
      <c r="G106" s="14">
        <f t="shared" si="3"/>
        <v>1.64</v>
      </c>
    </row>
    <row r="107" spans="5:7" x14ac:dyDescent="0.3">
      <c r="E107" s="16">
        <v>600</v>
      </c>
      <c r="F107" s="17">
        <v>0.98</v>
      </c>
      <c r="G107" s="14">
        <f t="shared" si="3"/>
        <v>1.6333333333333333</v>
      </c>
    </row>
    <row r="108" spans="5:7" x14ac:dyDescent="0.3">
      <c r="E108" s="16">
        <v>500</v>
      </c>
      <c r="F108" s="17">
        <v>0.81</v>
      </c>
      <c r="G108" s="14">
        <f t="shared" si="3"/>
        <v>1.62</v>
      </c>
    </row>
    <row r="109" spans="5:7" x14ac:dyDescent="0.3">
      <c r="E109" s="16">
        <v>6000</v>
      </c>
      <c r="F109" s="17">
        <v>9.5</v>
      </c>
      <c r="G109" s="14">
        <f t="shared" si="3"/>
        <v>1.5833333333333333</v>
      </c>
    </row>
    <row r="110" spans="5:7" x14ac:dyDescent="0.3">
      <c r="E110" s="16">
        <v>500</v>
      </c>
      <c r="F110" s="17">
        <v>0.77</v>
      </c>
      <c r="G110" s="14">
        <f t="shared" si="3"/>
        <v>1.54</v>
      </c>
    </row>
    <row r="111" spans="5:7" x14ac:dyDescent="0.3">
      <c r="E111" s="16">
        <v>600</v>
      </c>
      <c r="F111" s="17">
        <v>0.92</v>
      </c>
      <c r="G111" s="14">
        <f t="shared" si="3"/>
        <v>1.5333333333333334</v>
      </c>
    </row>
    <row r="112" spans="5:7" x14ac:dyDescent="0.3">
      <c r="E112" s="16">
        <v>500</v>
      </c>
      <c r="F112" s="17">
        <v>0.76</v>
      </c>
      <c r="G112" s="14">
        <f t="shared" si="3"/>
        <v>1.52</v>
      </c>
    </row>
    <row r="113" spans="5:7" x14ac:dyDescent="0.3">
      <c r="E113" s="16">
        <v>600</v>
      </c>
      <c r="F113" s="17">
        <v>0.91</v>
      </c>
      <c r="G113" s="14">
        <f t="shared" si="3"/>
        <v>1.5166666666666668</v>
      </c>
    </row>
    <row r="114" spans="5:7" x14ac:dyDescent="0.3">
      <c r="E114" s="16">
        <v>6000</v>
      </c>
      <c r="F114" s="17">
        <v>8.9499999999999993</v>
      </c>
      <c r="G114" s="14">
        <f t="shared" si="3"/>
        <v>1.4916666666666665</v>
      </c>
    </row>
    <row r="115" spans="5:7" x14ac:dyDescent="0.3">
      <c r="E115" s="16">
        <v>600</v>
      </c>
      <c r="F115" s="17">
        <v>0.88</v>
      </c>
      <c r="G115" s="14">
        <f t="shared" si="3"/>
        <v>1.4666666666666668</v>
      </c>
    </row>
    <row r="116" spans="5:7" x14ac:dyDescent="0.3">
      <c r="E116" s="16">
        <v>600</v>
      </c>
      <c r="F116" s="17">
        <v>0.86</v>
      </c>
      <c r="G116" s="14">
        <f t="shared" si="3"/>
        <v>1.4333333333333333</v>
      </c>
    </row>
    <row r="117" spans="5:7" x14ac:dyDescent="0.3">
      <c r="E117" s="16">
        <v>5000</v>
      </c>
      <c r="F117" s="17">
        <v>7.01</v>
      </c>
      <c r="G117" s="14">
        <f t="shared" si="3"/>
        <v>1.4019999999999999</v>
      </c>
    </row>
    <row r="118" spans="5:7" x14ac:dyDescent="0.3">
      <c r="E118" s="16">
        <v>600</v>
      </c>
      <c r="F118" s="17">
        <v>0.84</v>
      </c>
      <c r="G118" s="14">
        <f t="shared" si="3"/>
        <v>1.4</v>
      </c>
    </row>
    <row r="119" spans="5:7" x14ac:dyDescent="0.3">
      <c r="E119" s="16">
        <v>1500</v>
      </c>
      <c r="F119" s="17">
        <v>2.09</v>
      </c>
      <c r="G119" s="14">
        <f t="shared" si="3"/>
        <v>1.3933333333333333</v>
      </c>
    </row>
    <row r="120" spans="5:7" x14ac:dyDescent="0.3">
      <c r="E120" s="16">
        <v>600</v>
      </c>
      <c r="F120" s="17">
        <v>0.83</v>
      </c>
      <c r="G120" s="14">
        <f t="shared" si="3"/>
        <v>1.3833333333333333</v>
      </c>
    </row>
    <row r="121" spans="5:7" x14ac:dyDescent="0.3">
      <c r="E121" s="16">
        <v>1500</v>
      </c>
      <c r="F121" s="17">
        <v>2.06</v>
      </c>
      <c r="G121" s="14">
        <f t="shared" si="3"/>
        <v>1.3733333333333333</v>
      </c>
    </row>
    <row r="122" spans="5:7" x14ac:dyDescent="0.3">
      <c r="E122" s="16">
        <v>6000</v>
      </c>
      <c r="F122" s="17">
        <v>8.17</v>
      </c>
      <c r="G122" s="14">
        <f t="shared" si="3"/>
        <v>1.3616666666666666</v>
      </c>
    </row>
    <row r="123" spans="5:7" x14ac:dyDescent="0.3">
      <c r="E123" s="16">
        <v>6000</v>
      </c>
      <c r="F123" s="17">
        <v>8.1300000000000008</v>
      </c>
      <c r="G123" s="14">
        <f t="shared" si="3"/>
        <v>1.3550000000000002</v>
      </c>
    </row>
    <row r="124" spans="5:7" x14ac:dyDescent="0.3">
      <c r="E124" s="16">
        <v>600</v>
      </c>
      <c r="F124" s="17">
        <v>0.81</v>
      </c>
      <c r="G124" s="14">
        <f t="shared" si="3"/>
        <v>1.35</v>
      </c>
    </row>
    <row r="125" spans="5:7" x14ac:dyDescent="0.3">
      <c r="E125" s="16">
        <v>6000</v>
      </c>
      <c r="F125" s="17">
        <v>8.08</v>
      </c>
      <c r="G125" s="14">
        <f t="shared" si="3"/>
        <v>1.3466666666666667</v>
      </c>
    </row>
    <row r="126" spans="5:7" x14ac:dyDescent="0.3">
      <c r="E126" s="16">
        <v>1500</v>
      </c>
      <c r="F126" s="17">
        <v>2.0099999999999998</v>
      </c>
      <c r="G126" s="14">
        <f t="shared" si="3"/>
        <v>1.3399999999999999</v>
      </c>
    </row>
    <row r="127" spans="5:7" x14ac:dyDescent="0.3">
      <c r="E127" s="16">
        <v>5000</v>
      </c>
      <c r="F127" s="17">
        <v>6.67</v>
      </c>
      <c r="G127" s="14">
        <f t="shared" si="3"/>
        <v>1.3340000000000001</v>
      </c>
    </row>
    <row r="128" spans="5:7" x14ac:dyDescent="0.3">
      <c r="E128" s="16">
        <v>600</v>
      </c>
      <c r="F128" s="17">
        <v>0.79</v>
      </c>
      <c r="G128" s="14">
        <f t="shared" si="3"/>
        <v>1.3166666666666669</v>
      </c>
    </row>
    <row r="129" spans="5:7" x14ac:dyDescent="0.3">
      <c r="E129" s="16">
        <v>5000</v>
      </c>
      <c r="F129" s="17">
        <v>6.47</v>
      </c>
      <c r="G129" s="14">
        <f t="shared" si="3"/>
        <v>1.294</v>
      </c>
    </row>
    <row r="130" spans="5:7" x14ac:dyDescent="0.3">
      <c r="E130" s="16">
        <v>600</v>
      </c>
      <c r="F130" s="17">
        <v>0.77</v>
      </c>
      <c r="G130" s="14">
        <f t="shared" ref="G130:G161" si="4">F130/(E130/1000)</f>
        <v>1.2833333333333334</v>
      </c>
    </row>
    <row r="131" spans="5:7" x14ac:dyDescent="0.3">
      <c r="E131" s="16">
        <v>1500</v>
      </c>
      <c r="F131" s="17">
        <v>1.92</v>
      </c>
      <c r="G131" s="14">
        <f t="shared" si="4"/>
        <v>1.28</v>
      </c>
    </row>
    <row r="132" spans="5:7" x14ac:dyDescent="0.3">
      <c r="E132" s="16">
        <v>1500</v>
      </c>
      <c r="F132" s="17">
        <v>1.91</v>
      </c>
      <c r="G132" s="14">
        <f t="shared" si="4"/>
        <v>1.2733333333333332</v>
      </c>
    </row>
    <row r="133" spans="5:7" x14ac:dyDescent="0.3">
      <c r="E133" s="16">
        <v>1500</v>
      </c>
      <c r="F133" s="17">
        <v>1.9</v>
      </c>
      <c r="G133" s="14">
        <f t="shared" si="4"/>
        <v>1.2666666666666666</v>
      </c>
    </row>
    <row r="134" spans="5:7" x14ac:dyDescent="0.3">
      <c r="E134" s="16">
        <v>1500</v>
      </c>
      <c r="F134" s="17">
        <v>1.89</v>
      </c>
      <c r="G134" s="14">
        <f t="shared" si="4"/>
        <v>1.26</v>
      </c>
    </row>
    <row r="135" spans="5:7" x14ac:dyDescent="0.3">
      <c r="E135" s="16">
        <v>6000</v>
      </c>
      <c r="F135" s="17">
        <v>7.44</v>
      </c>
      <c r="G135" s="14">
        <f t="shared" si="4"/>
        <v>1.24</v>
      </c>
    </row>
    <row r="136" spans="5:7" x14ac:dyDescent="0.3">
      <c r="E136" s="16">
        <v>6000</v>
      </c>
      <c r="F136" s="17">
        <v>7.4</v>
      </c>
      <c r="G136" s="14">
        <f t="shared" si="4"/>
        <v>1.2333333333333334</v>
      </c>
    </row>
    <row r="137" spans="5:7" x14ac:dyDescent="0.3">
      <c r="E137" s="16">
        <v>5000</v>
      </c>
      <c r="F137" s="17">
        <v>6.13</v>
      </c>
      <c r="G137" s="14">
        <f t="shared" si="4"/>
        <v>1.226</v>
      </c>
    </row>
    <row r="138" spans="5:7" x14ac:dyDescent="0.3">
      <c r="E138" s="16">
        <v>5000</v>
      </c>
      <c r="F138" s="17">
        <v>6.04</v>
      </c>
      <c r="G138" s="14">
        <f t="shared" si="4"/>
        <v>1.208</v>
      </c>
    </row>
    <row r="139" spans="5:7" x14ac:dyDescent="0.3">
      <c r="E139" s="16">
        <v>1500</v>
      </c>
      <c r="F139" s="17">
        <v>1.8</v>
      </c>
      <c r="G139" s="14">
        <f t="shared" si="4"/>
        <v>1.2</v>
      </c>
    </row>
    <row r="140" spans="5:7" x14ac:dyDescent="0.3">
      <c r="E140" s="16">
        <v>1500</v>
      </c>
      <c r="F140" s="17">
        <v>1.8</v>
      </c>
      <c r="G140" s="14">
        <f t="shared" si="4"/>
        <v>1.2</v>
      </c>
    </row>
    <row r="141" spans="5:7" x14ac:dyDescent="0.3">
      <c r="E141" s="16">
        <v>1500</v>
      </c>
      <c r="F141" s="17">
        <v>1.69</v>
      </c>
      <c r="G141" s="14">
        <f t="shared" si="4"/>
        <v>1.1266666666666667</v>
      </c>
    </row>
    <row r="142" spans="5:7" x14ac:dyDescent="0.3">
      <c r="E142" s="16">
        <v>1500</v>
      </c>
      <c r="F142" s="17">
        <v>1.65</v>
      </c>
      <c r="G142" s="14">
        <f t="shared" si="4"/>
        <v>1.0999999999999999</v>
      </c>
    </row>
    <row r="143" spans="5:7" x14ac:dyDescent="0.3">
      <c r="E143" s="16">
        <v>1500</v>
      </c>
      <c r="F143" s="17">
        <v>1.62</v>
      </c>
      <c r="G143" s="14">
        <f t="shared" si="4"/>
        <v>1.08</v>
      </c>
    </row>
    <row r="144" spans="5:7" x14ac:dyDescent="0.3">
      <c r="E144" s="16">
        <v>1500</v>
      </c>
      <c r="F144" s="17">
        <v>1.55</v>
      </c>
      <c r="G144" s="14">
        <f t="shared" si="4"/>
        <v>1.0333333333333334</v>
      </c>
    </row>
    <row r="145" spans="5:7" x14ac:dyDescent="0.3">
      <c r="E145" s="16">
        <v>1500</v>
      </c>
      <c r="F145" s="17">
        <v>1.52</v>
      </c>
      <c r="G145" s="14">
        <f t="shared" si="4"/>
        <v>1.0133333333333334</v>
      </c>
    </row>
    <row r="146" spans="5:7" x14ac:dyDescent="0.3">
      <c r="E146" s="16">
        <v>1500</v>
      </c>
      <c r="F146" s="17">
        <v>1.51</v>
      </c>
      <c r="G146" s="14">
        <f t="shared" si="4"/>
        <v>1.0066666666666666</v>
      </c>
    </row>
    <row r="147" spans="5:7" x14ac:dyDescent="0.3">
      <c r="E147" s="16">
        <v>1500</v>
      </c>
      <c r="F147" s="17">
        <v>1.51</v>
      </c>
      <c r="G147" s="14">
        <f t="shared" si="4"/>
        <v>1.0066666666666666</v>
      </c>
    </row>
    <row r="148" spans="5:7" x14ac:dyDescent="0.3">
      <c r="E148" s="16">
        <v>1500</v>
      </c>
      <c r="F148" s="17">
        <v>1.5</v>
      </c>
      <c r="G148" s="14">
        <f t="shared" si="4"/>
        <v>1</v>
      </c>
    </row>
    <row r="149" spans="5:7" x14ac:dyDescent="0.3">
      <c r="E149" s="16">
        <v>1500</v>
      </c>
      <c r="F149" s="17">
        <v>1.5</v>
      </c>
      <c r="G149" s="14">
        <f t="shared" si="4"/>
        <v>1</v>
      </c>
    </row>
    <row r="150" spans="5:7" x14ac:dyDescent="0.3">
      <c r="E150" s="16">
        <v>1500</v>
      </c>
      <c r="F150" s="17">
        <v>1.47</v>
      </c>
      <c r="G150" s="14">
        <f t="shared" si="4"/>
        <v>0.98</v>
      </c>
    </row>
    <row r="151" spans="5:7" x14ac:dyDescent="0.3">
      <c r="E151" s="16">
        <v>1500</v>
      </c>
      <c r="F151" s="17">
        <v>1.41</v>
      </c>
      <c r="G151" s="14">
        <f>F151/(E151/1000)</f>
        <v>0.94</v>
      </c>
    </row>
  </sheetData>
  <sortState xmlns:xlrd2="http://schemas.microsoft.com/office/spreadsheetml/2017/richdata2" ref="E2:G153">
    <sortCondition descending="1" ref="G2:G15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1A78-3A3D-4DE0-A2EB-744DB76F8334}">
  <dimension ref="B2:C14"/>
  <sheetViews>
    <sheetView workbookViewId="0">
      <selection activeCell="B16" sqref="B16"/>
    </sheetView>
  </sheetViews>
  <sheetFormatPr defaultRowHeight="14.4" x14ac:dyDescent="0.3"/>
  <cols>
    <col min="2" max="2" width="22.33203125" bestFit="1" customWidth="1"/>
    <col min="3" max="3" width="13.109375" bestFit="1" customWidth="1"/>
  </cols>
  <sheetData>
    <row r="2" spans="2:3" x14ac:dyDescent="0.3">
      <c r="B2" s="10" t="s">
        <v>62</v>
      </c>
      <c r="C2" s="9" t="s">
        <v>64</v>
      </c>
    </row>
    <row r="3" spans="2:3" x14ac:dyDescent="0.3">
      <c r="B3" s="5" t="s">
        <v>24</v>
      </c>
      <c r="C3" s="11">
        <v>10</v>
      </c>
    </row>
    <row r="4" spans="2:3" x14ac:dyDescent="0.3">
      <c r="B4" s="5" t="s">
        <v>19</v>
      </c>
      <c r="C4" s="11">
        <v>10</v>
      </c>
    </row>
    <row r="5" spans="2:3" x14ac:dyDescent="0.3">
      <c r="B5" s="5" t="s">
        <v>10</v>
      </c>
      <c r="C5" s="11">
        <v>15</v>
      </c>
    </row>
    <row r="6" spans="2:3" x14ac:dyDescent="0.3">
      <c r="B6" s="5" t="s">
        <v>22</v>
      </c>
      <c r="C6" s="11">
        <v>10</v>
      </c>
    </row>
    <row r="7" spans="2:3" x14ac:dyDescent="0.3">
      <c r="B7" s="5" t="s">
        <v>7</v>
      </c>
      <c r="C7" s="11">
        <v>10</v>
      </c>
    </row>
    <row r="8" spans="2:3" x14ac:dyDescent="0.3">
      <c r="B8" s="5" t="s">
        <v>20</v>
      </c>
      <c r="C8" s="11">
        <v>10</v>
      </c>
    </row>
    <row r="9" spans="2:3" x14ac:dyDescent="0.3">
      <c r="B9" s="5" t="s">
        <v>11</v>
      </c>
      <c r="C9" s="11">
        <v>15</v>
      </c>
    </row>
    <row r="10" spans="2:3" x14ac:dyDescent="0.3">
      <c r="B10" s="5" t="s">
        <v>23</v>
      </c>
      <c r="C10" s="11">
        <v>10</v>
      </c>
    </row>
    <row r="11" spans="2:3" x14ac:dyDescent="0.3">
      <c r="B11" s="5" t="s">
        <v>25</v>
      </c>
      <c r="C11" s="11">
        <v>5</v>
      </c>
    </row>
    <row r="12" spans="2:3" x14ac:dyDescent="0.3">
      <c r="B12" s="5" t="s">
        <v>18</v>
      </c>
      <c r="C12" s="11">
        <v>45</v>
      </c>
    </row>
    <row r="13" spans="2:3" x14ac:dyDescent="0.3">
      <c r="B13" s="5" t="s">
        <v>21</v>
      </c>
      <c r="C13" s="11">
        <v>10</v>
      </c>
    </row>
    <row r="14" spans="2:3" x14ac:dyDescent="0.3">
      <c r="B14" s="5" t="s">
        <v>63</v>
      </c>
      <c r="C14" s="11">
        <v>150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collection</vt:lpstr>
      <vt:lpstr>Quantitative</vt:lpstr>
      <vt:lpstr>qualitative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radwan ali</dc:creator>
  <cp:lastModifiedBy>radwan ali</cp:lastModifiedBy>
  <dcterms:created xsi:type="dcterms:W3CDTF">2026-10-20T04:19:17Z</dcterms:created>
  <dcterms:modified xsi:type="dcterms:W3CDTF">2026-10-25T04:49:28Z</dcterms:modified>
</cp:coreProperties>
</file>